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7c3f3671c8633cd/Documents/Autonomy Book and KPN/ADAM Book/ADAM - Financial Models - NetStreamX Fictional Company/Financial Model - Fully Sovereign On-Prem/"/>
    </mc:Choice>
  </mc:AlternateContent>
  <xr:revisionPtr revIDLastSave="0" documentId="11_6368DD43AE01FD1FD3848676F3CD38DE0D6C57EB" xr6:coauthVersionLast="47" xr6:coauthVersionMax="47" xr10:uidLastSave="{00000000-0000-0000-0000-000000000000}"/>
  <bookViews>
    <workbookView xWindow="-110" yWindow="-110" windowWidth="22780" windowHeight="15260" tabRatio="500" xr2:uid="{00000000-000D-0000-FFFF-FFFF00000000}"/>
  </bookViews>
  <sheets>
    <sheet name="README" sheetId="1" r:id="rId1"/>
    <sheet name="Assumptions" sheetId="2" r:id="rId2"/>
    <sheet name="Workload Sizing" sheetId="3" r:id="rId3"/>
    <sheet name="Hardware CapEx" sheetId="4" r:id="rId4"/>
    <sheet name="On-Prem OpEx" sheetId="5" r:id="rId5"/>
    <sheet name="CDN &amp; Net Services" sheetId="6" r:id="rId6"/>
    <sheet name="ADAM Governance OpEx" sheetId="7" r:id="rId7"/>
    <sheet name="Consolidated TCO" sheetId="8" r:id="rId8"/>
    <sheet name="Revenue Model" sheetId="9" r:id="rId9"/>
    <sheet name="5-Year P&amp;L" sheetId="10" r:id="rId10"/>
    <sheet name="Pricing Scenarios" sheetId="11" r:id="rId11"/>
    <sheet name="Competitive Bench" sheetId="12" r:id="rId12"/>
    <sheet name="OnPrem vs MultiCloud" sheetId="13" r:id="rId13"/>
    <sheet name="Recommendations" sheetId="14" r:id="rId1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12" l="1"/>
  <c r="E14" i="12"/>
  <c r="D14" i="12"/>
  <c r="C14" i="12"/>
  <c r="B14" i="12"/>
  <c r="F13" i="12"/>
  <c r="E13" i="12"/>
  <c r="D13" i="12"/>
  <c r="C13" i="12"/>
  <c r="B13" i="12"/>
  <c r="E11" i="11"/>
  <c r="E13" i="11" s="1"/>
  <c r="E10" i="11"/>
  <c r="D10" i="11"/>
  <c r="C10" i="11"/>
  <c r="B10" i="11"/>
  <c r="E9" i="11"/>
  <c r="D9" i="11"/>
  <c r="D11" i="11" s="1"/>
  <c r="D13" i="11" s="1"/>
  <c r="C9" i="11"/>
  <c r="C11" i="11" s="1"/>
  <c r="C13" i="11" s="1"/>
  <c r="B9" i="11"/>
  <c r="B11" i="11" s="1"/>
  <c r="B13" i="11" s="1"/>
  <c r="B6" i="10"/>
  <c r="B3" i="10"/>
  <c r="D13" i="9"/>
  <c r="E13" i="9" s="1"/>
  <c r="D7" i="9"/>
  <c r="E7" i="9" s="1"/>
  <c r="B7" i="9"/>
  <c r="D6" i="9"/>
  <c r="E6" i="9" s="1"/>
  <c r="B6" i="9"/>
  <c r="E5" i="9"/>
  <c r="D5" i="9"/>
  <c r="B5" i="9"/>
  <c r="D4" i="9"/>
  <c r="E4" i="9" s="1"/>
  <c r="B4" i="9"/>
  <c r="D3" i="9"/>
  <c r="E3" i="9" s="1"/>
  <c r="E9" i="9" s="1"/>
  <c r="B3" i="9"/>
  <c r="C15" i="8"/>
  <c r="B12" i="7"/>
  <c r="B10" i="7"/>
  <c r="B9" i="7"/>
  <c r="B18" i="7" s="1"/>
  <c r="B8" i="7"/>
  <c r="B7" i="7"/>
  <c r="B6" i="7"/>
  <c r="B4" i="7"/>
  <c r="B10" i="6"/>
  <c r="B9" i="6"/>
  <c r="D30" i="5"/>
  <c r="B30" i="5"/>
  <c r="D29" i="5"/>
  <c r="B29" i="5"/>
  <c r="D28" i="5"/>
  <c r="B28" i="5"/>
  <c r="B26" i="5"/>
  <c r="B25" i="5"/>
  <c r="B24" i="5"/>
  <c r="B23" i="5"/>
  <c r="B22" i="5"/>
  <c r="B21" i="5"/>
  <c r="B20" i="5"/>
  <c r="B19" i="5"/>
  <c r="B18" i="5"/>
  <c r="B17" i="5"/>
  <c r="B16" i="5"/>
  <c r="B15" i="5"/>
  <c r="B9" i="5"/>
  <c r="B7" i="5"/>
  <c r="B6" i="5"/>
  <c r="B59" i="4"/>
  <c r="B58" i="4"/>
  <c r="B56" i="4"/>
  <c r="B55" i="4"/>
  <c r="E46" i="4"/>
  <c r="E38" i="4"/>
  <c r="C28" i="4"/>
  <c r="E28" i="4" s="1"/>
  <c r="C27" i="4"/>
  <c r="E27" i="4" s="1"/>
  <c r="C26" i="4"/>
  <c r="E26" i="4" s="1"/>
  <c r="D25" i="4"/>
  <c r="C25" i="4"/>
  <c r="E25" i="4" s="1"/>
  <c r="E23" i="4"/>
  <c r="D23" i="4"/>
  <c r="C23" i="4"/>
  <c r="D21" i="4"/>
  <c r="C21" i="4"/>
  <c r="E21" i="4" s="1"/>
  <c r="D20" i="4"/>
  <c r="C20" i="4"/>
  <c r="E20" i="4" s="1"/>
  <c r="D19" i="4"/>
  <c r="C19" i="4"/>
  <c r="E19" i="4" s="1"/>
  <c r="D18" i="4"/>
  <c r="C18" i="4"/>
  <c r="E18" i="4" s="1"/>
  <c r="D16" i="4"/>
  <c r="D15" i="4"/>
  <c r="D14" i="4"/>
  <c r="D12" i="4"/>
  <c r="C12" i="4"/>
  <c r="E12" i="4" s="1"/>
  <c r="D11" i="4"/>
  <c r="C11" i="4"/>
  <c r="E11" i="4" s="1"/>
  <c r="D10" i="4"/>
  <c r="C10" i="4"/>
  <c r="E10" i="4" s="1"/>
  <c r="D8" i="4"/>
  <c r="C8" i="4"/>
  <c r="E8" i="4" s="1"/>
  <c r="E7" i="4"/>
  <c r="D7" i="4"/>
  <c r="C7" i="4"/>
  <c r="D6" i="4"/>
  <c r="C6" i="4"/>
  <c r="E6" i="4" s="1"/>
  <c r="D5" i="4"/>
  <c r="C5" i="4"/>
  <c r="E5" i="4" s="1"/>
  <c r="E4" i="4"/>
  <c r="D4" i="4"/>
  <c r="C4" i="4"/>
  <c r="B13" i="3"/>
  <c r="B16" i="4" s="1"/>
  <c r="C16" i="4" s="1"/>
  <c r="E16" i="4" s="1"/>
  <c r="B10" i="3"/>
  <c r="B14" i="3" s="1"/>
  <c r="B9" i="3"/>
  <c r="B4" i="6" s="1"/>
  <c r="B7" i="3"/>
  <c r="B8" i="3" s="1"/>
  <c r="B6" i="3"/>
  <c r="B5" i="3"/>
  <c r="B4" i="3"/>
  <c r="B3" i="3"/>
  <c r="B88" i="2"/>
  <c r="B59" i="2"/>
  <c r="B6" i="13" s="1"/>
  <c r="D6" i="13" s="1"/>
  <c r="B18" i="2"/>
  <c r="B8" i="2"/>
  <c r="E15" i="9" l="1"/>
  <c r="C10" i="9"/>
  <c r="B14" i="6"/>
  <c r="B7" i="8"/>
  <c r="E16" i="10"/>
  <c r="D16" i="10"/>
  <c r="F16" i="10"/>
  <c r="C16" i="10"/>
  <c r="B16" i="10"/>
  <c r="B14" i="8"/>
  <c r="B11" i="3"/>
  <c r="B15" i="4" s="1"/>
  <c r="C15" i="4" s="1"/>
  <c r="E15" i="4" s="1"/>
  <c r="B5" i="6"/>
  <c r="B12" i="3"/>
  <c r="B14" i="4" s="1"/>
  <c r="C14" i="4" s="1"/>
  <c r="C3" i="10"/>
  <c r="D3" i="10" l="1"/>
  <c r="C6" i="10"/>
  <c r="D14" i="8"/>
  <c r="E14" i="4"/>
  <c r="E30" i="4" s="1"/>
  <c r="B57" i="4"/>
  <c r="B60" i="4" s="1"/>
  <c r="B4" i="5" s="1"/>
  <c r="B6" i="8"/>
  <c r="B15" i="10"/>
  <c r="B13" i="8"/>
  <c r="F4" i="10"/>
  <c r="E4" i="10"/>
  <c r="D4" i="10"/>
  <c r="C4" i="10"/>
  <c r="C5" i="10" s="1"/>
  <c r="C7" i="10" s="1"/>
  <c r="B4" i="10"/>
  <c r="B5" i="10" s="1"/>
  <c r="B7" i="10" s="1"/>
  <c r="C17" i="10" l="1"/>
  <c r="C10" i="10"/>
  <c r="C18" i="10"/>
  <c r="B17" i="10"/>
  <c r="B10" i="10"/>
  <c r="B18" i="10"/>
  <c r="D15" i="10"/>
  <c r="C15" i="10"/>
  <c r="B32" i="5"/>
  <c r="E48" i="4"/>
  <c r="E50" i="4" s="1"/>
  <c r="E52" i="4"/>
  <c r="E13" i="10" s="1"/>
  <c r="F13" i="10" s="1"/>
  <c r="B13" i="5"/>
  <c r="D13" i="8"/>
  <c r="D6" i="10"/>
  <c r="D5" i="10"/>
  <c r="D7" i="10" s="1"/>
  <c r="E3" i="10"/>
  <c r="B13" i="13" l="1"/>
  <c r="E51" i="4"/>
  <c r="B4" i="8"/>
  <c r="B5" i="13"/>
  <c r="D5" i="13" s="1"/>
  <c r="B26" i="10"/>
  <c r="E6" i="10"/>
  <c r="E5" i="10"/>
  <c r="E7" i="10" s="1"/>
  <c r="F3" i="10"/>
  <c r="C11" i="10"/>
  <c r="B11" i="10"/>
  <c r="B14" i="10"/>
  <c r="B12" i="8"/>
  <c r="B5" i="8"/>
  <c r="F14" i="10"/>
  <c r="E14" i="10"/>
  <c r="D14" i="10"/>
  <c r="C14" i="10"/>
  <c r="D18" i="10"/>
  <c r="D10" i="10"/>
  <c r="D17" i="10"/>
  <c r="E15" i="10"/>
  <c r="B8" i="8" l="1"/>
  <c r="F5" i="10"/>
  <c r="F6" i="10"/>
  <c r="F15" i="10"/>
  <c r="D11" i="10"/>
  <c r="D19" i="10" s="1"/>
  <c r="D21" i="10" s="1"/>
  <c r="D22" i="10" s="1"/>
  <c r="C19" i="10"/>
  <c r="C21" i="10" s="1"/>
  <c r="C22" i="10" s="1"/>
  <c r="F12" i="10"/>
  <c r="E12" i="10"/>
  <c r="E24" i="10" s="1"/>
  <c r="B12" i="10"/>
  <c r="B24" i="10" s="1"/>
  <c r="D12" i="10"/>
  <c r="D24" i="10" s="1"/>
  <c r="B11" i="8"/>
  <c r="C12" i="10"/>
  <c r="C24" i="10" s="1"/>
  <c r="E18" i="10"/>
  <c r="E10" i="10"/>
  <c r="E17" i="10"/>
  <c r="D12" i="8"/>
  <c r="B15" i="8" l="1"/>
  <c r="D11" i="8"/>
  <c r="F7" i="10"/>
  <c r="B4" i="13"/>
  <c r="D4" i="13" s="1"/>
  <c r="D8" i="8"/>
  <c r="B19" i="10"/>
  <c r="B21" i="10" s="1"/>
  <c r="B22" i="10" s="1"/>
  <c r="F24" i="10"/>
  <c r="E11" i="10"/>
  <c r="E19" i="10" s="1"/>
  <c r="E21" i="10" s="1"/>
  <c r="E22" i="10" s="1"/>
  <c r="D14" i="11" l="1"/>
  <c r="D15" i="11" s="1"/>
  <c r="C14" i="11"/>
  <c r="C15" i="11" s="1"/>
  <c r="B17" i="11"/>
  <c r="B14" i="11"/>
  <c r="B15" i="11" s="1"/>
  <c r="B3" i="13"/>
  <c r="D3" i="13" s="1"/>
  <c r="E14" i="11"/>
  <c r="E15" i="11" s="1"/>
  <c r="D15" i="8"/>
  <c r="C14" i="8"/>
  <c r="C13" i="8"/>
  <c r="C12" i="8"/>
  <c r="F18" i="10"/>
  <c r="F10" i="10"/>
  <c r="F11" i="10" s="1"/>
  <c r="F19" i="10" s="1"/>
  <c r="F21" i="10" s="1"/>
  <c r="F22" i="10" s="1"/>
  <c r="F17" i="10"/>
  <c r="C11" i="8"/>
</calcChain>
</file>

<file path=xl/sharedStrings.xml><?xml version="1.0" encoding="utf-8"?>
<sst xmlns="http://schemas.openxmlformats.org/spreadsheetml/2006/main" count="797" uniqueCount="617">
  <si>
    <t>ADAM + NetStreamX — Fully Sovereign On-Prem Cost &amp; Revenue Model v1.1</t>
  </si>
  <si>
    <t>SCENARIO</t>
  </si>
  <si>
    <t>Full production deployment of the ADAM framework (CORE Engine, 81-Agent Mesh, BOSS Scoring, Flight Recorder, Governance Plane) on a FULLY SOVEREIGN on-premises substrate, hosting the NetStreamX streaming workload at 1,000,000 subscribers and a 100,000-title UHD catalog (average 2-hour H.265/AV1 films).</t>
  </si>
  <si>
    <t>DEPLOYMENT ARCHITECTURE</t>
  </si>
  <si>
    <t>Reference: ADAM_Fully_Sovereign_OnPrem_V2.0.drawio.  Dual-DC active/active on bare-metal Kubernetes; on-prem LLM (Llama 3 / Mistral) for AI/governance inference; Ceph (object+block) and MinIO WORM for Flight Recorder; Postgres HA, Neo4j/ArangoDB, Weaviate/Milvus, Kafka/Redpanda, NATS, Temporal; Thales/Luna HSM (FIPS L3); HashiCorp Vault; Keycloak/AD; SPIRE/SPIFFE workload identity; Wazuh/ELK SIEM; Falco+Tetragon runtime; Grafana+Loki+Mimir; BGP+EVPN fabric, MACsec+IPsec, sovereign anycast DNS. Air-gapped boundary; zero public egress for governance, evidence, or AI inference.</t>
  </si>
  <si>
    <t>THE PUBLIC-CLOUD REMNANT</t>
  </si>
  <si>
    <t>Sovereignty is total for governance/data/AI. Public cloud is retained ONLY for global content distribution and edge protection, where physical optimality requires a planetary footprint: (1) external CDN (Akamai or equivalent), (2) DDoS scrubbing / Magic Transit, (3) IX transit and peering, (4) optional secondary anycast support. No customer PII, no Flight Recorder data, no AI inference, no doctrine state ever leaves on-prem perimeter — only encoded video segments and signed manifests.</t>
  </si>
  <si>
    <t>WHAT'S IN / WHAT'S OUT</t>
  </si>
  <si>
    <t>IN: All hardware CapEx (compute, GPU, storage, network, HSM, DC fit-out); on-prem OpEx (power, cooling, space, dark fiber, transit, hardware maintenance, software subscriptions, staff, ADAM overlay). External CDN egress; subscriber growth; content amortization; competitive bench. OUT: Acquisition costs of NetStreamX itself; legacy data-center decommissioning; tax/legal entity setup; M&amp;A; one-off marketing campaigns.</t>
  </si>
  <si>
    <t>METHODOLOGY</t>
  </si>
  <si>
    <t>Bottom-up engineering build: (1) workload sized from 1M subs / 100K UHD assets / 8.9 Mbps blended bitrate; (2) hardware sized from ADAM DNA Spec resource profile (3,180 vCPU, 12,720 GB RAM, 42 GPU agents) plus streaming origin/transcode/database tier; (3) unit costs from public list prices net of typical enterprise discount (~20-30% on hardware, Microsoft EA / Red Hat ELA on software). CDN priced at 10PB+/month committed-use rate ($0.0085–$0.012/GB), NOT list. Power at €0.12/kWh European average, PUE 1.5. Staff at Western European fully-loaded rates (~$180-220K).</t>
  </si>
  <si>
    <t>CAPEX vs OPEX</t>
  </si>
  <si>
    <t>Hardware CapEx is amortized straight-line over 5 years (60 months) for P&amp;L purposes. Year 1 cash impact reflects the full upfront investment (~$38M) followed by lighter OpEx years. The 'Run Rate' line in 5-Year P&amp;L uses depreciation, not cash CapEx. Refresh CapEx for years 4-5 is included in the 'Sustaining CapEx' line (15% of original IT CapEx).</t>
  </si>
  <si>
    <t>SOVEREIGN PREMIUM</t>
  </si>
  <si>
    <t>On-prem incurs a sovereignty premium: more staff (+16 FTE vs cloud-native), longer lead times for capacity adds, capital intensity. The model quantifies this trade-off and shows where on-prem economics break even with multi-cloud.</t>
  </si>
  <si>
    <t>HOW TO USE</t>
  </si>
  <si>
    <t>Inputs are BLUE — change them and the whole model recasts. Formulas are BLACK. Cross-sheet references are GREEN. YELLOW shading marks the highest-leverage assumptions. Every total has a live formula; no hardcoded answers. Pricing Scenarios sheet drives the recommendation.</t>
  </si>
  <si>
    <t>SOURCE DOCUMENTS</t>
  </si>
  <si>
    <t>ADAM Book (Parts IV, VI, IX, XI); ADAM DNA Deployment Specification §8.5 (cost framework); ADAM Governance Charter (5-Director model); ADAM BOSS Score Formulas (exception economy); ADAM Industry-Specific Services Part II (Media); ADAM_Fully_Sovereign_OnPrem_V2.0 architecture diagram.</t>
  </si>
  <si>
    <t>Assumptions — All Inputs (BLUE = editable, YELLOW = high-leverage)</t>
  </si>
  <si>
    <t>Parameter</t>
  </si>
  <si>
    <t>Value</t>
  </si>
  <si>
    <t>Unit</t>
  </si>
  <si>
    <t>Source / Note</t>
  </si>
  <si>
    <t>─── Subscriber &amp; Workload ───────────────────────────────</t>
  </si>
  <si>
    <t>Subscribers (Year 1)</t>
  </si>
  <si>
    <t>subs</t>
  </si>
  <si>
    <t>User-specified scale</t>
  </si>
  <si>
    <t>Daily Active Users (DAU) ratio</t>
  </si>
  <si>
    <t>ratio</t>
  </si>
  <si>
    <t>Industry: Netflix ~0.45, niche ~0.25</t>
  </si>
  <si>
    <t>Average viewing hours / DAU / day</t>
  </si>
  <si>
    <t>hours</t>
  </si>
  <si>
    <t>User-specified</t>
  </si>
  <si>
    <t>Blended bitrate (40% UHD + 40% HD + 20% SD)</t>
  </si>
  <si>
    <t>Mbps</t>
  </si>
  <si>
    <t>0.4×15 + 0.4×6 + 0.2×2.5</t>
  </si>
  <si>
    <t>Monthly subscriber egress (PB)</t>
  </si>
  <si>
    <t>PB/mo</t>
  </si>
  <si>
    <t>DAU × hrs × 30 × 3600s × Mbps / 8 / 1024^3</t>
  </si>
  <si>
    <t>Annual content catalog growth</t>
  </si>
  <si>
    <t>20% new titles per year</t>
  </si>
  <si>
    <t>Subscriber growth rate (Y2-Y5)</t>
  </si>
  <si>
    <t>Mature streaming player growth</t>
  </si>
  <si>
    <t>─── Content Library ─────────────────────────────────────</t>
  </si>
  <si>
    <t>Total titles</t>
  </si>
  <si>
    <t>titles</t>
  </si>
  <si>
    <t>Average title duration</t>
  </si>
  <si>
    <t>Mezzanine size per UHD title (4K HEVC + Dolby Vision)</t>
  </si>
  <si>
    <t>GB</t>
  </si>
  <si>
    <t>Industry: ~11 GB/hr UHD HEVC</t>
  </si>
  <si>
    <t>ABR ladder size multiplier (mezzanine + 8 renditions)</t>
  </si>
  <si>
    <t>x</t>
  </si>
  <si>
    <t>Renditions ~1.5x mezzanine</t>
  </si>
  <si>
    <t>Replication factor (Ceph 3x + MinIO erasure 1.5x avg)</t>
  </si>
  <si>
    <t>Per-DC replication overhead</t>
  </si>
  <si>
    <t>Storage tiering — hot share (NVMe)</t>
  </si>
  <si>
    <t>10% of catalog drives 90% of plays</t>
  </si>
  <si>
    <t>Total content storage required (raw)</t>
  </si>
  <si>
    <t>PB</t>
  </si>
  <si>
    <t>titles × GB × ladder × repl / 1024^2</t>
  </si>
  <si>
    <t>─── Datacenter Footprint ────────────────────────────────</t>
  </si>
  <si>
    <t>Datacenter sites (active/active)</t>
  </si>
  <si>
    <t>DC</t>
  </si>
  <si>
    <t>Per ADAM Sovereign architecture</t>
  </si>
  <si>
    <t>PUE (industry tier-3 colo target)</t>
  </si>
  <si>
    <t>European tier-3 colo average</t>
  </si>
  <si>
    <t>Electricity blended rate (EU)</t>
  </si>
  <si>
    <t>$/kWh</t>
  </si>
  <si>
    <t>EU industrial: €0.10-0.14, blended</t>
  </si>
  <si>
    <t>Rack lease (per rack per month, full power)</t>
  </si>
  <si>
    <t>$/mo</t>
  </si>
  <si>
    <t>Equinix/Digital Realty EU tier-3</t>
  </si>
  <si>
    <t>Dark fiber metro DR pair (per month)</t>
  </si>
  <si>
    <t>100G+ redundant dual-metro</t>
  </si>
  <si>
    <t>Hardware support (% of IT CapEx, blended Y1-Y5)</t>
  </si>
  <si>
    <t>Years 1-3 warranty, Y4-5 ramp</t>
  </si>
  <si>
    <t>CapEx amortization period</t>
  </si>
  <si>
    <t>years</t>
  </si>
  <si>
    <t>Standard data-center 5-year refresh cycle</t>
  </si>
  <si>
    <t>Sustaining CapEx (Y4-Y5, % original IT CapEx)</t>
  </si>
  <si>
    <t>Refresh + capacity grow</t>
  </si>
  <si>
    <t>─── Hardware Unit Costs (post-discount) ────────────────</t>
  </si>
  <si>
    <t>Compute server (2U, dual EPYC Genoa, 1.5TB DDR5)</t>
  </si>
  <si>
    <t>$/server</t>
  </si>
  <si>
    <t>Dell R760 / HPE DL385 enterprise</t>
  </si>
  <si>
    <t>GPU server (HGX H100, 8x H100 80GB)</t>
  </si>
  <si>
    <t>NVIDIA HGX reference, channel pricing</t>
  </si>
  <si>
    <t>Storage node (24x 22TB HDD, ~528 TB raw)</t>
  </si>
  <si>
    <t>$/node</t>
  </si>
  <si>
    <t>Dell PowerEdge / Supermicro</t>
  </si>
  <si>
    <t>NVMe storage node (24x 30TB NVMe, ~720 TB)</t>
  </si>
  <si>
    <t>All-flash hot tier</t>
  </si>
  <si>
    <t>Spine switch (400G fabric, 32-port)</t>
  </si>
  <si>
    <t>$/sw</t>
  </si>
  <si>
    <t>Arista 7800 or Juniper QFX10000</t>
  </si>
  <si>
    <t>Leaf switch (100G, 48-port)</t>
  </si>
  <si>
    <t>Arista 7050X3 or Juniper QFX5120</t>
  </si>
  <si>
    <t>Border / edge router (BGP, multi-homed)</t>
  </si>
  <si>
    <t>Juniper MX240/MX480 or Cisco ASR</t>
  </si>
  <si>
    <t>DDoS appliance (on-prem)</t>
  </si>
  <si>
    <t>$/unit</t>
  </si>
  <si>
    <t>Arbor / Radware</t>
  </si>
  <si>
    <t>Thales Luna HSM (FIPS 140-2 L3)</t>
  </si>
  <si>
    <t>PCIe / network HSM</t>
  </si>
  <si>
    <t>Rack + PDU + cabling (per rack, fully fitted)</t>
  </si>
  <si>
    <t>$/rack</t>
  </si>
  <si>
    <t>Includes APC/Eaton + structured cabling</t>
  </si>
  <si>
    <t>Hardware enterprise discount (channel)</t>
  </si>
  <si>
    <t>20-30% off list at this scale</t>
  </si>
  <si>
    <t>─── ADAM Workload (from DNA Deployment Spec) ───────────</t>
  </si>
  <si>
    <t>Total ADAM agents</t>
  </si>
  <si>
    <t>agents</t>
  </si>
  <si>
    <t>Per Agent Org Chart</t>
  </si>
  <si>
    <t>Total vCPU baseline (governance + work)</t>
  </si>
  <si>
    <t>vCPU</t>
  </si>
  <si>
    <t>Per DNA Spec §6</t>
  </si>
  <si>
    <t>Total RAM baseline</t>
  </si>
  <si>
    <t>GPU agent count (Governor + Twin + ML)</t>
  </si>
  <si>
    <t>GPU</t>
  </si>
  <si>
    <t>On-prem LLM model (Llama 3 70B / Mistral Large)</t>
  </si>
  <si>
    <t>Llama-3-70B</t>
  </si>
  <si>
    <t>model</t>
  </si>
  <si>
    <t>Replaces Azure OpenAI / Bedrock</t>
  </si>
  <si>
    <t>Flight Recorder retention (regulatory minimum)</t>
  </si>
  <si>
    <t>EU AI Act + DORA + NIS2</t>
  </si>
  <si>
    <t>Annual Flight Recorder write volume</t>
  </si>
  <si>
    <t>PB/yr</t>
  </si>
  <si>
    <t>WORM, hash-chained per ADAM Spec §6.5</t>
  </si>
  <si>
    <t>─── External CDN / Network Services ────────────────────</t>
  </si>
  <si>
    <t>CDN $/GB egress (10PB+ commit, multi-CDN)</t>
  </si>
  <si>
    <t>$/GB</t>
  </si>
  <si>
    <t>Akamai/Fastly committed-use; NOT list</t>
  </si>
  <si>
    <t>Internet transit (per Mbps per month, 95th)</t>
  </si>
  <si>
    <t>$/Mbps</t>
  </si>
  <si>
    <t>EU carrier-grade transit, large commit</t>
  </si>
  <si>
    <t>Peak transit commit (95th percentile)</t>
  </si>
  <si>
    <t>200 Gbps committed across IXs</t>
  </si>
  <si>
    <t>DDoS scrubbing service (annual)</t>
  </si>
  <si>
    <t>$/yr</t>
  </si>
  <si>
    <t>Cloudflare Magic Transit / Akamai Prolexic</t>
  </si>
  <si>
    <t>DRM service (Widevine + PlayReady + FairPlay)</t>
  </si>
  <si>
    <t>Studio compliance</t>
  </si>
  <si>
    <t>─── Staff (Sovereign-on-prem requires more in-house) ───</t>
  </si>
  <si>
    <t>Average fully-loaded FTE cost (EU senior engineering)</t>
  </si>
  <si>
    <t>Salary + benefits + load 30%</t>
  </si>
  <si>
    <t>Total platform / streaming engineering FTE</t>
  </si>
  <si>
    <t>FTE</t>
  </si>
  <si>
    <t>K8s, SRE, DBA, ML, NetSec, DC ops, media eng</t>
  </si>
  <si>
    <t>Engineering management FTE</t>
  </si>
  <si>
    <t>Director + 3 EMs</t>
  </si>
  <si>
    <t>Compliance / audit FTE (in-house)</t>
  </si>
  <si>
    <t>Total FTE</t>
  </si>
  <si>
    <t>Sum</t>
  </si>
  <si>
    <t>─── Software Subscriptions (annual, post-discount) ─────</t>
  </si>
  <si>
    <t>Container platform (Rancher Prime / OpenShift)</t>
  </si>
  <si>
    <t>240+ servers, multi-cluster</t>
  </si>
  <si>
    <t>HashiCorp Vault Enterprise</t>
  </si>
  <si>
    <t>Multi-DC HA, PKI, secrets</t>
  </si>
  <si>
    <t>Thales/Luna HSM support + DPoD</t>
  </si>
  <si>
    <t>L3 maintenance contract</t>
  </si>
  <si>
    <t>Elastic Enterprise (ELK / SIEM)</t>
  </si>
  <si>
    <t>1+ TB/day ingest</t>
  </si>
  <si>
    <t>Grafana Enterprise + Loki + Mimir</t>
  </si>
  <si>
    <t>Observability platform</t>
  </si>
  <si>
    <t>F5 BIG-IP support</t>
  </si>
  <si>
    <t>Hardware maintenance + iRules</t>
  </si>
  <si>
    <t>Sysdig (Falco / Tetragon enterprise)</t>
  </si>
  <si>
    <t>Runtime security</t>
  </si>
  <si>
    <t>Wazuh enterprise</t>
  </si>
  <si>
    <t>SIEM/SOAR</t>
  </si>
  <si>
    <t>Temporal / workflow enterprise</t>
  </si>
  <si>
    <t>Saga orchestration</t>
  </si>
  <si>
    <t>Anyscale / Ray ML platform</t>
  </si>
  <si>
    <t>LLM inference + model ops</t>
  </si>
  <si>
    <t>AV1 / HEVC codec licensing pool</t>
  </si>
  <si>
    <t>MPEG LA pools</t>
  </si>
  <si>
    <t>Misc software (Postgres, Neo4j, Weaviate ent)</t>
  </si>
  <si>
    <t>DBAs and tooling</t>
  </si>
  <si>
    <t>─── ADAM Governance Overlay (Annual) ────────────────────</t>
  </si>
  <si>
    <t>Director comp allocated to ADAM oversight (per director)</t>
  </si>
  <si>
    <t>Allocated portion, not full salary</t>
  </si>
  <si>
    <t>Number of mandatory directors</t>
  </si>
  <si>
    <t>ppl</t>
  </si>
  <si>
    <t>CEO + CFO + Legal + Market + CISO</t>
  </si>
  <si>
    <t>External annual ADAM compliance audit</t>
  </si>
  <si>
    <t>Big 4 attestation</t>
  </si>
  <si>
    <t>EU AI Act conformity assessment (notified body)</t>
  </si>
  <si>
    <t>Annual update</t>
  </si>
  <si>
    <t>DORA registry + NIS2 attestation</t>
  </si>
  <si>
    <t>Annual filings + maintenance</t>
  </si>
  <si>
    <t>Cyber + D&amp;O insurance ADAM premium</t>
  </si>
  <si>
    <t>AI-amplified premium</t>
  </si>
  <si>
    <t>Doctrine evolution + model governance (legal)</t>
  </si>
  <si>
    <t>External counsel retainer</t>
  </si>
  <si>
    <t>Continuous training / certifications</t>
  </si>
  <si>
    <t>Director + staff</t>
  </si>
  <si>
    <t>─── Revenue Assumptions ────────────────────────────────</t>
  </si>
  <si>
    <t>Mix: Ad-supported</t>
  </si>
  <si>
    <t>share</t>
  </si>
  <si>
    <t>$ per scenario</t>
  </si>
  <si>
    <t>Mix: Basic SD</t>
  </si>
  <si>
    <t>Slim entry tier</t>
  </si>
  <si>
    <t>Mix: Standard HD</t>
  </si>
  <si>
    <t>Anchor tier</t>
  </si>
  <si>
    <t>Mix: Premium UHD</t>
  </si>
  <si>
    <t>UHD-driven</t>
  </si>
  <si>
    <t>Mix: Premium Plus (UHD + add-ons + sovereignty bundle)</t>
  </si>
  <si>
    <t>New anchor</t>
  </si>
  <si>
    <t>Mix check (must = 100%)</t>
  </si>
  <si>
    <t>Sum check</t>
  </si>
  <si>
    <t>Annual churn rate</t>
  </si>
  <si>
    <t>5% — premium positioning</t>
  </si>
  <si>
    <t>Content amortization (avg years per title)</t>
  </si>
  <si>
    <t>Industry standard</t>
  </si>
  <si>
    <t>Annual content investment as % of revenue</t>
  </si>
  <si>
    <t>Major streamer benchmark</t>
  </si>
  <si>
    <t>Marketing as % of revenue</t>
  </si>
  <si>
    <t>Mature scale</t>
  </si>
  <si>
    <t>G&amp;A as % of revenue (excl ADAM/IT)</t>
  </si>
  <si>
    <t>Workload Sizing — Subscriber, Content, and Storage Demand</t>
  </si>
  <si>
    <t>Metric</t>
  </si>
  <si>
    <t>Derivation</t>
  </si>
  <si>
    <t>From Assumptions</t>
  </si>
  <si>
    <t>DAU (subscribers × ratio)</t>
  </si>
  <si>
    <t>users</t>
  </si>
  <si>
    <t>Daily active users</t>
  </si>
  <si>
    <t>Peak concurrent streams (DAU × 0.10 prime-time ratio)</t>
  </si>
  <si>
    <t>streams</t>
  </si>
  <si>
    <t>Industry prime-time concentration</t>
  </si>
  <si>
    <t>Peak egress bandwidth (concurrent × bitrate)</t>
  </si>
  <si>
    <t>Gbps</t>
  </si>
  <si>
    <t>Concurrent × Mbps / 1000</t>
  </si>
  <si>
    <t>Daily egress (DAU × hrs × seconds × Mbps / 8 / 1024^3)</t>
  </si>
  <si>
    <t>PB/day</t>
  </si>
  <si>
    <t>Formula: see derivation</t>
  </si>
  <si>
    <t>Monthly egress</t>
  </si>
  <si>
    <t>Daily × 30</t>
  </si>
  <si>
    <t>Annual egress</t>
  </si>
  <si>
    <t>Daily × 365</t>
  </si>
  <si>
    <t>Content library raw size (UHD + ladder + replication)</t>
  </si>
  <si>
    <t>Hot tier (NVMe) — 10% of catalog</t>
  </si>
  <si>
    <t>10% drives 90% of plays</t>
  </si>
  <si>
    <t>Cold tier (HDD)</t>
  </si>
  <si>
    <t>Library minus hot</t>
  </si>
  <si>
    <t>Flight Recorder cumulative (7 years)</t>
  </si>
  <si>
    <t>WORM, hash-chained, 7y minimum</t>
  </si>
  <si>
    <t>Total storage required (content + FR)</t>
  </si>
  <si>
    <t>Sum of all storage</t>
  </si>
  <si>
    <t>Hardware CapEx — Year 0 Build (Dual-DC Active/Active)</t>
  </si>
  <si>
    <t>Component</t>
  </si>
  <si>
    <t>Per DC</t>
  </si>
  <si>
    <t>Total</t>
  </si>
  <si>
    <t>Unit Cost</t>
  </si>
  <si>
    <t>Extended</t>
  </si>
  <si>
    <t>Notes</t>
  </si>
  <si>
    <t>─ Compute Servers ─</t>
  </si>
  <si>
    <t>Streaming origin / edge cache</t>
  </si>
  <si>
    <t>60 servers, content-near origin</t>
  </si>
  <si>
    <t>Application / microservices (NetStreamX)</t>
  </si>
  <si>
    <t>100 servers, stateless services</t>
  </si>
  <si>
    <t>Kubernetes control plane + ADAM governance</t>
  </si>
  <si>
    <t>Bare-metal k8s + governor agents</t>
  </si>
  <si>
    <t>Database tier (Postgres, Neo4j, Weaviate)</t>
  </si>
  <si>
    <t>DNA graph + transactional + vector</t>
  </si>
  <si>
    <t>Streaming bus (Kafka/Redpanda + NATS)</t>
  </si>
  <si>
    <t>Intent + saga messaging</t>
  </si>
  <si>
    <t>─ GPU Servers ─</t>
  </si>
  <si>
    <t>On-prem LLM inference (Llama 3 70B / Mistral)</t>
  </si>
  <si>
    <t>Transcoding acceleration (NVENC + AV1)</t>
  </si>
  <si>
    <t>Live ladder + new asset encode</t>
  </si>
  <si>
    <t>ML/Twin compute (Digital Twins, Anomaly Detect)</t>
  </si>
  <si>
    <t>4 Digital Twins per ADAM Spec</t>
  </si>
  <si>
    <t>─ Storage ─</t>
  </si>
  <si>
    <t>Bulk content storage (Ceph HDD)</t>
  </si>
  <si>
    <t>22TB drives, 24/node, ~85% usable, mirrored across DCs</t>
  </si>
  <si>
    <t>Hot tier (Ceph NVMe all-flash)</t>
  </si>
  <si>
    <t>30TB NVMe, 24/node — drives playback latency</t>
  </si>
  <si>
    <t>MinIO WORM (Flight Recorder)</t>
  </si>
  <si>
    <t>WORM erasure-coded, hash-chained, 7-year</t>
  </si>
  <si>
    <t>─ Network ─</t>
  </si>
  <si>
    <t>Spine switches (400G fabric)</t>
  </si>
  <si>
    <t>400G EVPN spine</t>
  </si>
  <si>
    <t>Leaf switches (100G ToR)</t>
  </si>
  <si>
    <t>100G ToR per row</t>
  </si>
  <si>
    <t>Border / edge routers (BGP multi-homed)</t>
  </si>
  <si>
    <t>Internet-facing BGP</t>
  </si>
  <si>
    <t>DDoS appliances (on-prem first line)</t>
  </si>
  <si>
    <t>Volumetric defense</t>
  </si>
  <si>
    <t>─ Security / Crypto ─</t>
  </si>
  <si>
    <t>Per ADAM Spec §6.5</t>
  </si>
  <si>
    <t>─ DC Fit-out ─</t>
  </si>
  <si>
    <t>Racks + PDU + structured cabling</t>
  </si>
  <si>
    <t>30 racks/DC, fully fitted</t>
  </si>
  <si>
    <t>UPS / supplemental cooling / DCIM</t>
  </si>
  <si>
    <t>DC build-out</t>
  </si>
  <si>
    <t>Optics, cabling, rack-level kit</t>
  </si>
  <si>
    <t>Bulk cabling and TX</t>
  </si>
  <si>
    <t>Physical security upgrades (sovereign reqs)</t>
  </si>
  <si>
    <t>Mantraps, biometrics, SIEM cams</t>
  </si>
  <si>
    <t>HARDWARE SUBTOTAL</t>
  </si>
  <si>
    <t>─ Software CapEx (perpetual portion) ─</t>
  </si>
  <si>
    <t>VMware/Tanzu perpetual (legacy bridge)</t>
  </si>
  <si>
    <t>Optional bridge license</t>
  </si>
  <si>
    <t>F5 BIG-IP perpetual (chassis)</t>
  </si>
  <si>
    <t>Hardware-bound license</t>
  </si>
  <si>
    <t>Splunk perpetual cores (legacy)</t>
  </si>
  <si>
    <t>Where retained</t>
  </si>
  <si>
    <t>DRM client SDKs + studio integrations</t>
  </si>
  <si>
    <t>Widevine/PlayReady/FairPlay one-off</t>
  </si>
  <si>
    <t>SOFTWARE CAPEX SUBTOTAL</t>
  </si>
  <si>
    <t>─ Professional Services &amp; Build ─</t>
  </si>
  <si>
    <t>DC commissioning &amp; network buildout</t>
  </si>
  <si>
    <t>ADAM platform integration &amp; customization</t>
  </si>
  <si>
    <t>Migration services (apps, data, identity)</t>
  </si>
  <si>
    <t>Training (initial cohort, certifications)</t>
  </si>
  <si>
    <t>PROFESSIONAL SERVICES SUBTOTAL</t>
  </si>
  <si>
    <t>Contingency (12% of hardware + software + PS)</t>
  </si>
  <si>
    <t>TOTAL YEAR 0 CAPEX</t>
  </si>
  <si>
    <t>ANNUAL AMORTIZATION (5-year straight-line)</t>
  </si>
  <si>
    <t>SUSTAINING CAPEX (Y4-Y5 each, refresh + grow)</t>
  </si>
  <si>
    <t>─ Helper: Total IT Power Load (kW) ─</t>
  </si>
  <si>
    <t>Compute servers (240 × 0.65 kW)</t>
  </si>
  <si>
    <t>GPU servers (16 × 6.5 kW)</t>
  </si>
  <si>
    <t>Storage nodes (varies × 0.4 kW)</t>
  </si>
  <si>
    <t>Network gear (~36 × 0.35 kW)</t>
  </si>
  <si>
    <t>HSM, ancillary (4 × 0.2 kW)</t>
  </si>
  <si>
    <t>TOTAL IT LOAD (kW)</t>
  </si>
  <si>
    <t>On-Prem OpEx — Annual Run Costs (Power, Space, Maintenance, Software, Staff)</t>
  </si>
  <si>
    <t>Item</t>
  </si>
  <si>
    <t>Annual $</t>
  </si>
  <si>
    <t>Driver</t>
  </si>
  <si>
    <t>─ Power &amp; Cooling ─</t>
  </si>
  <si>
    <t>Electricity (IT × PUE × 8760h × $/kWh)</t>
  </si>
  <si>
    <t>Total IT load × PUE × hours × rate</t>
  </si>
  <si>
    <t>Two DCs combined</t>
  </si>
  <si>
    <t>─ Datacenter Space ─</t>
  </si>
  <si>
    <t>Rack lease (60 racks × $/rack/mo × 12)</t>
  </si>
  <si>
    <t>Equinix/Digital Realty</t>
  </si>
  <si>
    <t>30 racks × 2 DCs</t>
  </si>
  <si>
    <t>Dark fiber metro DR (annualized)</t>
  </si>
  <si>
    <t>Dual-pair 100G+</t>
  </si>
  <si>
    <t>Active/active replication path</t>
  </si>
  <si>
    <t>─ Network Connectivity (sovereign external) ─</t>
  </si>
  <si>
    <t>Internet transit (200 Gbps × $/Mbps × 12)</t>
  </si>
  <si>
    <t>95th percentile commit</t>
  </si>
  <si>
    <t>EU carrier-grade transit pool</t>
  </si>
  <si>
    <t>IX peering fees (AMS-IX/DE-CIX/LINX)</t>
  </si>
  <si>
    <t>Combined</t>
  </si>
  <si>
    <t>Connection ports + member fees</t>
  </si>
  <si>
    <t>BGP / routing services</t>
  </si>
  <si>
    <t>Looking-glass + RPKI</t>
  </si>
  <si>
    <t>─ Hardware Maintenance &amp; Refresh ─</t>
  </si>
  <si>
    <t>Blended after-warranty</t>
  </si>
  <si>
    <t>Y1-3 mostly under warranty; Y4-5 ramps to 10%</t>
  </si>
  <si>
    <t>─ Software Subscriptions (annual) ─</t>
  </si>
  <si>
    <t>Per-server</t>
  </si>
  <si>
    <t>Multi-DC</t>
  </si>
  <si>
    <t>Thales/Luna HSM support</t>
  </si>
  <si>
    <t>Per appliance</t>
  </si>
  <si>
    <t>FIPS L3 maintenance</t>
  </si>
  <si>
    <t>Elastic Enterprise (SIEM)</t>
  </si>
  <si>
    <t>Per ingest</t>
  </si>
  <si>
    <t>Wazuh / ELK SIEM stack</t>
  </si>
  <si>
    <t>Grafana / Loki / Mimir Enterprise</t>
  </si>
  <si>
    <t>Per metric</t>
  </si>
  <si>
    <t>Per chassis</t>
  </si>
  <si>
    <t>WAF + global LB</t>
  </si>
  <si>
    <t>Sysdig (Falco/Tetragon enterprise)</t>
  </si>
  <si>
    <t>Per cluster</t>
  </si>
  <si>
    <t>Wazuh enterprise support</t>
  </si>
  <si>
    <t>Per agent</t>
  </si>
  <si>
    <t>Temporal enterprise</t>
  </si>
  <si>
    <t>Per workflow</t>
  </si>
  <si>
    <t>Anyscale / Ray (LLM inference platform)</t>
  </si>
  <si>
    <t>On-prem LLM serving</t>
  </si>
  <si>
    <t>AV1/HEVC codec licensing pool</t>
  </si>
  <si>
    <t>MPEG LA</t>
  </si>
  <si>
    <t>Misc (Postgres, Neo4j, Weaviate enterprise)</t>
  </si>
  <si>
    <t>Mixed</t>
  </si>
  <si>
    <t>DBA tooling, monitoring</t>
  </si>
  <si>
    <t>─ Staff (in-house, sovereign mode) ─</t>
  </si>
  <si>
    <t>Engineering staff (platform, SRE, DBA, ML, NetSec, DC, media)</t>
  </si>
  <si>
    <t>On-prem requires ~16 more in-house staff vs cloud-native</t>
  </si>
  <si>
    <t>Engineering management</t>
  </si>
  <si>
    <t>Director + EMs, +15% comp loading</t>
  </si>
  <si>
    <t>Compliance &amp; audit (in-house)</t>
  </si>
  <si>
    <t>EU AI Act, DORA, NIS2 in-house counsel</t>
  </si>
  <si>
    <t>TOTAL ON-PREM OPEX (annual)</t>
  </si>
  <si>
    <t>CDN &amp; Network Services — The Sovereign-Permitted Public Cloud Remnant</t>
  </si>
  <si>
    <t>─ Content Delivery Network ─</t>
  </si>
  <si>
    <t>Subscriber egress via external CDN (multi-CDN commit)</t>
  </si>
  <si>
    <t>PB/yr × 1024^2 GB × $/GB at 10PB+ commit. Akamai primary, Cloudflare secondary</t>
  </si>
  <si>
    <t>Multi-CDN orchestration overhead</t>
  </si>
  <si>
    <t>5% premium for failover routing, mid-tier shielding</t>
  </si>
  <si>
    <t>Origin shield (CloudFront/Akamai mid-tier)</t>
  </si>
  <si>
    <t>Reduces fetch from on-prem origin</t>
  </si>
  <si>
    <t>DRM transactions (license server bursts)</t>
  </si>
  <si>
    <t>Where studio rules prohibit on-prem DRM</t>
  </si>
  <si>
    <t>─ Network Edge Services ─</t>
  </si>
  <si>
    <t>DDoS scrubbing service (Cloudflare Magic / Akamai Prolexic)</t>
  </si>
  <si>
    <t>Layer 3-7 always-on, sovereign-routed</t>
  </si>
  <si>
    <t>DRM Service (Widevine / PlayReady / FairPlay)</t>
  </si>
  <si>
    <t>Studio compliance — license server costs</t>
  </si>
  <si>
    <t>Anycast DNS overflow / global resolver</t>
  </si>
  <si>
    <t>PowerDNS sovereign + Route53/NS1 for global recursive</t>
  </si>
  <si>
    <t>Threat intel feeds (commercial)</t>
  </si>
  <si>
    <t>Recorded Future, Mandiant, Flashpoint</t>
  </si>
  <si>
    <t>TOTAL CDN + NETWORK SERVICES</t>
  </si>
  <si>
    <t>ADAM Governance Overlay — Annual Cost (On-Prem Mode)</t>
  </si>
  <si>
    <t>─ Human Directorship (allocated portion) ─</t>
  </si>
  <si>
    <t>Mandatory directors (5) — allocated comp</t>
  </si>
  <si>
    <t>Per Governance Charter §A.4 — 5-Director Constitution</t>
  </si>
  <si>
    <t>─ Compliance &amp; Attestation ─</t>
  </si>
  <si>
    <t>Big 4 attestation per book Part XIII</t>
  </si>
  <si>
    <t>High-risk AI conformity per book §IX.2</t>
  </si>
  <si>
    <t>Registry maintenance + ICT incident reporting</t>
  </si>
  <si>
    <t>Per Legal &amp; Arbitration §3 doctrine conflict process</t>
  </si>
  <si>
    <t>Continuous training &amp; certifications</t>
  </si>
  <si>
    <t>Director + governance staff</t>
  </si>
  <si>
    <t>─ Risk Transfer ─</t>
  </si>
  <si>
    <t>Cyber + D&amp;O insurance (ADAM-amplified premium)</t>
  </si>
  <si>
    <t>Premium reflects autonomous-system D&amp;O exposure</t>
  </si>
  <si>
    <t>─ Operational Overhead (note: AI inference is on-prem) ─</t>
  </si>
  <si>
    <t>AI inference (replaced by on-prem LLM hardware/power)</t>
  </si>
  <si>
    <t>Azure OpenAI ~$2-3M/yr SAVED — moved to GPU CapEx + power above</t>
  </si>
  <si>
    <t>Flight Recorder evidence ingest (storage handled on-prem)</t>
  </si>
  <si>
    <t>MinIO WORM hardware accounted in CapEx; no cloud cost</t>
  </si>
  <si>
    <t>Exception Economy operations (BOSS scoring, escalation)</t>
  </si>
  <si>
    <t>SOAP→OHSHAT runtime costs above baseline staffing</t>
  </si>
  <si>
    <t>TOTAL ADAM GOVERNANCE OVERLAY</t>
  </si>
  <si>
    <t>Consolidated TCO — Cash View vs. Run-Rate (Amortized) View</t>
  </si>
  <si>
    <t>Cost Bucket</t>
  </si>
  <si>
    <t>% of Run-Rate</t>
  </si>
  <si>
    <t>Per-Sub /mo</t>
  </si>
  <si>
    <t>─ CASH VIEW (Year 1 = build year) ─</t>
  </si>
  <si>
    <t>Year 0/1 CapEx (full build, paid upfront)</t>
  </si>
  <si>
    <t>Hardware + software perpetual + PS + contingency</t>
  </si>
  <si>
    <t>Year 1 OpEx (full year, on-prem run costs)</t>
  </si>
  <si>
    <t>Power, space, maintenance, software, staff</t>
  </si>
  <si>
    <t>Year 1 CDN + Network Services</t>
  </si>
  <si>
    <t>Year 1 ADAM Governance Overlay</t>
  </si>
  <si>
    <t>TOTAL Year 1 CASH OUTLAY</t>
  </si>
  <si>
    <t>─ RUN-RATE VIEW (P&amp;L, CapEx amortized 5y) ─</t>
  </si>
  <si>
    <t>CapEx amortization (Y1-Y5 each)</t>
  </si>
  <si>
    <t>Total CapEx ÷ 5y</t>
  </si>
  <si>
    <t>On-Prem OpEx (annual)</t>
  </si>
  <si>
    <t>CDN + Network Services (annual)</t>
  </si>
  <si>
    <t>ADAM Governance Overlay (annual)</t>
  </si>
  <si>
    <t>TOTAL ANNUAL RUN-RATE</t>
  </si>
  <si>
    <t>Revenue Model — Tier Mix × ARPU × Subscribers</t>
  </si>
  <si>
    <t>Tier</t>
  </si>
  <si>
    <t>Mix %</t>
  </si>
  <si>
    <t>Monthly $</t>
  </si>
  <si>
    <t>Subs</t>
  </si>
  <si>
    <t>Ad-supported</t>
  </si>
  <si>
    <t>Ad-supported entry — pricing-driven growth</t>
  </si>
  <si>
    <t>Basic SD</t>
  </si>
  <si>
    <t>Slim entry, single-stream SD</t>
  </si>
  <si>
    <t>Standard HD</t>
  </si>
  <si>
    <t>Anchor tier — 2 streams, HD</t>
  </si>
  <si>
    <t>Premium UHD</t>
  </si>
  <si>
    <t>4 streams, UHD, Dolby Vision</t>
  </si>
  <si>
    <t>Premium Plus (sovereignty bundle)</t>
  </si>
  <si>
    <t>NEW: UHD + downloads + sovereign premium + extended catalog</t>
  </si>
  <si>
    <t>Total subscriber revenue (recommended pricing)</t>
  </si>
  <si>
    <t>Blended ARPU (per sub per month)</t>
  </si>
  <si>
    <t>─ Ad revenue (ad-tier impressions, ARPU uplift) ─</t>
  </si>
  <si>
    <t>Ad ARPU per ad-tier sub /month (impressions × CPM)</t>
  </si>
  <si>
    <t>Industry: $7-$10 per sub/mo from ads at ~30 mins/day exposure</t>
  </si>
  <si>
    <t>TOTAL ANNUAL REVENUE (Year 1)</t>
  </si>
  <si>
    <t>5-Year P&amp;L — Sovereign On-Prem ADAM + NetStreamX</t>
  </si>
  <si>
    <t>Line</t>
  </si>
  <si>
    <t>Year 1</t>
  </si>
  <si>
    <t>Year 2</t>
  </si>
  <si>
    <t>Year 3</t>
  </si>
  <si>
    <t>Year 4</t>
  </si>
  <si>
    <t>Year 5</t>
  </si>
  <si>
    <t>Subscribers (year-end)</t>
  </si>
  <si>
    <t>12% annual growth Y2-Y5 baseline</t>
  </si>
  <si>
    <t>Blended subscription ARPU /mo</t>
  </si>
  <si>
    <t>Held flat in scenario; pricing changes flex this</t>
  </si>
  <si>
    <t>Subscription revenue</t>
  </si>
  <si>
    <t>Ad revenue (ad-tier × $8.50/mo × 12)</t>
  </si>
  <si>
    <t>TOTAL REVENUE</t>
  </si>
  <si>
    <t>OPERATING COSTS</t>
  </si>
  <si>
    <t>Content investment (% of revenue)</t>
  </si>
  <si>
    <t>Content amortization (P&amp;L impact)</t>
  </si>
  <si>
    <t>Straight-line over content amortization period</t>
  </si>
  <si>
    <t>ADAM/IT — CapEx amortization</t>
  </si>
  <si>
    <t>Straight-line 5-year. Y4-Y5 also gets sustaining CapEx (below).</t>
  </si>
  <si>
    <t>ADAM/IT — Sustaining CapEx amortization</t>
  </si>
  <si>
    <t>On-Prem OpEx</t>
  </si>
  <si>
    <t>CDN &amp; Network Services (scales with subs)</t>
  </si>
  <si>
    <t>CDN scales linearly with subscriber base</t>
  </si>
  <si>
    <t>ADAM Governance Overlay</t>
  </si>
  <si>
    <t>Marketing</t>
  </si>
  <si>
    <t>G&amp;A (excl ADAM/IT)</t>
  </si>
  <si>
    <t>TOTAL OPERATING COSTS</t>
  </si>
  <si>
    <t>OPERATING INCOME (EBITDA proxy)</t>
  </si>
  <si>
    <t>Operating Margin %</t>
  </si>
  <si>
    <t>ADAM/IT total cost per sub /mo (cash + amort blended)</t>
  </si>
  <si>
    <t>MEMO: Year 1 CASH outlay (CapEx + full opex, ignoring amort)</t>
  </si>
  <si>
    <t>Pricing Scenarios — Required ARPU vs Recommended Tier Map</t>
  </si>
  <si>
    <t>A: Current Market</t>
  </si>
  <si>
    <t>B: Sovereign Conservative</t>
  </si>
  <si>
    <t>C: Recommended</t>
  </si>
  <si>
    <t>D: Sovereign Premium</t>
  </si>
  <si>
    <t>Premium ad-load reduction at sovereign tier</t>
  </si>
  <si>
    <t>Floor; minor uplift at premium scenario</t>
  </si>
  <si>
    <t>Anchor; sensitive to competitor moves</t>
  </si>
  <si>
    <t>UHD + Dolby Vision + 4-stream</t>
  </si>
  <si>
    <t>Premium Plus</t>
  </si>
  <si>
    <t>Sovereign-bundled tier, new anchor</t>
  </si>
  <si>
    <t>Mix (Ad/Basic/Std/Prem/PP)</t>
  </si>
  <si>
    <t>20/10/40/25/5</t>
  </si>
  <si>
    <t>15/8/40/27/10</t>
  </si>
  <si>
    <t>PP scales in Premium scenario</t>
  </si>
  <si>
    <t>Blended ARPU (sub only) /mo</t>
  </si>
  <si>
    <t>+ Ad ARPU uplift (ad-tier × $8.50)</t>
  </si>
  <si>
    <t>TOTAL BLENDED ARPU /sub /mo</t>
  </si>
  <si>
    <t>Annual revenue (subs × ARPU × 12)</t>
  </si>
  <si>
    <t>Annual all-in cost (run-rate, content + IT + ops)</t>
  </si>
  <si>
    <t>Operating margin</t>
  </si>
  <si>
    <t>Required ARPU for 35% operating margin</t>
  </si>
  <si>
    <t>(same — fixed structure)</t>
  </si>
  <si>
    <t>Floor pricing for sustainable 35% op margin</t>
  </si>
  <si>
    <t>Competitive Benchmark — Q1 2026 Streaming Pricing (US/EU)</t>
  </si>
  <si>
    <t>Service</t>
  </si>
  <si>
    <t>Ad-tier</t>
  </si>
  <si>
    <t>Basic</t>
  </si>
  <si>
    <t>Standard</t>
  </si>
  <si>
    <t>Premium</t>
  </si>
  <si>
    <t>UHD/Top</t>
  </si>
  <si>
    <t>Netflix</t>
  </si>
  <si>
    <t>—</t>
  </si>
  <si>
    <t>No basic in US; ad-tier limited content</t>
  </si>
  <si>
    <t>Disney+</t>
  </si>
  <si>
    <t>Hulu bundle adds $3-5</t>
  </si>
  <si>
    <t>Max (HBO)</t>
  </si>
  <si>
    <t>UHD only at top tier</t>
  </si>
  <si>
    <t>Paramount+</t>
  </si>
  <si>
    <t>Bundles with Showtime</t>
  </si>
  <si>
    <t>Apple TV+</t>
  </si>
  <si>
    <t>Single tier</t>
  </si>
  <si>
    <t>Prime Video</t>
  </si>
  <si>
    <t>$2.99 add-on if Prime member</t>
  </si>
  <si>
    <t>Hulu</t>
  </si>
  <si>
    <t>Live TV $76.99</t>
  </si>
  <si>
    <t>Mubi</t>
  </si>
  <si>
    <t>Premium curated, single tier</t>
  </si>
  <si>
    <t>Peacock</t>
  </si>
  <si>
    <t>NBCU bundles</t>
  </si>
  <si>
    <t>YouTube Premium</t>
  </si>
  <si>
    <t>Music + ad-free YouTube</t>
  </si>
  <si>
    <t>MARKET MEDIAN</t>
  </si>
  <si>
    <t>Median across competitive set excluding zeros where applicable</t>
  </si>
  <si>
    <t>NETSTREAMX (Recommended Scenario C)</t>
  </si>
  <si>
    <t>Recommended sovereign-on-prem pricing</t>
  </si>
  <si>
    <t>Sovereign On-Prem vs Multi-Cloud Azure-Primary — Side-by-Side</t>
  </si>
  <si>
    <t>On-Prem (this model)</t>
  </si>
  <si>
    <t>Multi-Cloud (v1 model)</t>
  </si>
  <si>
    <t>Δ (On-Prem − MC)</t>
  </si>
  <si>
    <t>Annual run-rate (Year 1, amortized)</t>
  </si>
  <si>
    <t>On-prem run-rate vs multi-cloud (Azure West Europe primary + AWS standby)</t>
  </si>
  <si>
    <t>Year 1 CASH outlay</t>
  </si>
  <si>
    <t>On-prem requires upfront capital — multi-cloud is pay-as-you-go</t>
  </si>
  <si>
    <t>5-year cumulative TCO</t>
  </si>
  <si>
    <t>5-year cumulative — on-prem amortizes capex; multi-cloud has consumption growth</t>
  </si>
  <si>
    <t>FTE required (in-house)</t>
  </si>
  <si>
    <t>On-prem requires +16 FTE for DC ops, network, hardware lifecycle, ML ops</t>
  </si>
  <si>
    <t>Capacity-add lead time</t>
  </si>
  <si>
    <t>12-16 weeks</t>
  </si>
  <si>
    <t>minutes-hours</t>
  </si>
  <si>
    <t>Major</t>
  </si>
  <si>
    <t>Hardware procurement vs cloud elasticity — sovereign trade-off</t>
  </si>
  <si>
    <t>Data egress to public cloud</t>
  </si>
  <si>
    <t>Zero (only encoded video segments)</t>
  </si>
  <si>
    <t>PII + telemetry + AI + content</t>
  </si>
  <si>
    <t>Sovereignty win</t>
  </si>
  <si>
    <t>DORA / NIS2 / EU AI Act posture: on-prem materially stronger</t>
  </si>
  <si>
    <t>Regulatory premium (insurance + audit)</t>
  </si>
  <si>
    <t>Lower (sovereign defensible)</t>
  </si>
  <si>
    <t>Higher (cross-border attestations)</t>
  </si>
  <si>
    <t>Insurance ~20% lower for sovereign</t>
  </si>
  <si>
    <t>AI-amplified D&amp;O premiums favor on-prem if EU regulated</t>
  </si>
  <si>
    <t>Burst capacity for events</t>
  </si>
  <si>
    <t>Fixed (must over-provision)</t>
  </si>
  <si>
    <t>Elastic</t>
  </si>
  <si>
    <t>Risk: live-event peaks</t>
  </si>
  <si>
    <t>Recommendation: use cloud burst for live events (hybrid pattern)</t>
  </si>
  <si>
    <t>BREAK-EVEN ANALYSIS</t>
  </si>
  <si>
    <t>Years to recoup CapEx vs multi-cloud (assume on-prem opex ≤ multi-cloud)</t>
  </si>
  <si>
    <t>CapEx ÷ annual savings vs multi-cloud — &lt; 5y means on-prem wins economically</t>
  </si>
  <si>
    <t>Recommendations — Sustainable &amp; Growth-Oriented Pricing Strategy</t>
  </si>
  <si>
    <t>HEADLINE</t>
  </si>
  <si>
    <t>For 1M subs on a fully sovereign on-prem ADAM substrate, the model shows a Year-1 CASH outlay near $74M (~$38M CapEx + ~$37M OpEx) and a normalized run-rate of ~$44–46M/year once CapEx is amortized. Versus the Azure-primary multi-cloud reference (~$47.5M run-rate), sovereign on-prem is approximately TCO-neutral over 5 years and net-cheaper from Year 4 onward — but it consumes capital, consumes lead-time flexibility, and consumes 16 additional FTEs. The trade is sovereignty + regulatory posture + operational independence in exchange for capital intensity.</t>
  </si>
  <si>
    <t>PRICING RECOMMENDATION (Sovereign-Bundled Anchor)</t>
  </si>
  <si>
    <t>Adopt a 5-tier structure with a NEW 'Premium Plus' anchor at $27.99 that bundles UHD + downloads + the sovereignty value proposition (EU-resident data, EU-resident inference, no-undisclosed-AI guarantee). Recommended tiers: Ad-supported $5.99 / Basic SD $9.99 / Standard HD $14.99 / Premium UHD $19.99 / Premium Plus $27.99. Blended ARPU comes out at ~$15.00 sub-only + ~$1.70 ad-uplift = ~$16.70/sub/mo.</t>
  </si>
  <si>
    <t>WHY THE NEW 'PREMIUM PLUS' ANCHOR</t>
  </si>
  <si>
    <t>1) Captures the household that values data sovereignty (EU professional class, regulated industries, creator economy users producing IP-sensitive material). 2) Lifts blended ARPU by ~$3 vs Standard-only anchor without alienating the price-sensitive base. 3) Justifies the on-prem CapEx as a differentiator, not an operating tax. 4) Creates ad-free + extended-catalog combo that competes against Mubi/Apple TV+ at the high end and Netflix Premium at the low end.</t>
  </si>
  <si>
    <t>COMPETITIVE POSITIONING</t>
  </si>
  <si>
    <t>Recommended pricing puts NetStreamX BELOW Netflix on Standard ($14.99 vs $17.99) and Premium ($19.99 vs $24.99), at parity with Disney+ on Premium, and ABOVE the market median on Premium Plus ($27.99 vs $20-21 median). The premium positioning is justifiable because (a) sovereignty is a credible differentiator no incumbent matches, (b) UHD + Dolby Vision + 4-stream + downloads is a complete bundle, (c) on-prem ADAM means content recommendations explainable per EU AI Act.</t>
  </si>
  <si>
    <t>SOVEREIGNTY AS A PRODUCT</t>
  </si>
  <si>
    <t>Treat the on-prem investment as a product feature, not back-office spend. Marketing language: 'Your watching never leaves Europe.' 'Recommendations you can audit.' 'No AI surprise.' Pair with a trust badge (Flight Recorder receipts available on request — replay-able evidence trail). This converts a CapEx burden into a brand premium.</t>
  </si>
  <si>
    <t>HYBRID PATTERN FOR LIVE EVENTS</t>
  </si>
  <si>
    <t>Live sports / appointment-viewing peaks (championship matches, major releases) can drive 3-5x normal concurrent load. On-prem is fixed. Recommendation: maintain a small pre-negotiated cloud burst contract (Azure Front Door + AKS quotas) for STATELESS edge serving only — no PII, no doctrine, no Flight Recorder. Cost: ~$200-400K per event versus $5-8M to over-provision on-prem permanently.</t>
  </si>
  <si>
    <t>PHASING THE CAPEX</t>
  </si>
  <si>
    <t>Year 0/1: ~$38M build (full dual-DC). Year 2: $0 sustaining. Year 3: $0 sustaining. Year 4: ~$5M refresh (oldest GPUs and storage). Year 5: ~$5M refresh + capacity grow. Total 5-year hardware: ~$48M. This phasing is aligned with bond/credit-facility serviceability and matches the typical 5-year refresh cycle in EU regulated industries.</t>
  </si>
  <si>
    <t>MARGIN TRAJECTORY (5-Year P&amp;L)</t>
  </si>
  <si>
    <t>Year 1: revenue ~$200M, run-rate cost ~$170M, operating income ~$30M (15% margin). Year 5 (1.57M subs): revenue ~$315M, op income ~$110M (35% margin). The S-curve is healthier than multi-cloud because cost growth is sub-linear (most run cost is fixed: power, space, staff, software).</t>
  </si>
  <si>
    <t>BREAK-EVEN VS MULTI-CLOUD</t>
  </si>
  <si>
    <t>On the OnPrem vs MultiCloud sheet, the model computes the years to recoup the CapEx vs running on multi-cloud. Under the recommended assumptions, on-prem breaks even between Year 3 and Year 4 and is net-cheaper thereafter. Sensitivity: if CDN $/GB rises 20% (which hurts both architectures equally), or if FTE costs grow 5%/yr, break-even slips by ~6 months — still inside 5 years.</t>
  </si>
  <si>
    <t>RISK CALLOUTS</t>
  </si>
  <si>
    <t>(1) Hardware lead times — current GPU and high-density storage chassis can be 16-26 weeks. Build sustaining-CapEx in Y3 to avoid Y4 stockouts. (2) Skills gap — 16-FTE growth in EU senior engineering is a 9-12 month talent acquisition cycle; budget recruiter spend in Y1. (3) Power/space lock-in — colo contracts are typically 5-7 year terms; over-commit by ~20% to absorb growth without renegotiation. (4) Regulatory drift — EU AI Act / DORA Art 28 obligations are expanding; the $200K/yr conformity line should be reviewed annually with notified body.</t>
  </si>
  <si>
    <t>DECISION RULE</t>
  </si>
  <si>
    <t>Pursue sovereign on-prem if AND ONLY IF: (a) you serve &gt;800K subscribers in regulated EU markets AND (b) you can fund $40M of CapEx without dilution AND (c) you can hire 41 FTEs sustainably AND (d) sovereignty is a marketable feature for your audience. NetStreamX meets all four — making this recommendation actionable. If any test fails, the multi-cloud Azure-primary model (companion file) is the better choice.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</si>
</sst>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[Red]\(#,##0\);\-"/>
    <numFmt numFmtId="165" formatCode="0.0%;[Red]\(0.0%\);\-"/>
    <numFmt numFmtId="166" formatCode="#,##0.00;[Red]\(#,##0.00\);\-"/>
    <numFmt numFmtId="167" formatCode="#,##0.00&quot; PB&quot;"/>
    <numFmt numFmtId="168" formatCode="0.0\x"/>
    <numFmt numFmtId="169" formatCode="_-\$* #,##0_-;[Red]_-\$* \(#,##0\)_-;_-\$* \-??_-;_-@_-"/>
    <numFmt numFmtId="170" formatCode="_-\$* #,##0.00_-;[Red]_-\$* \(#,##0.00\)_-;_-\$* \-??_-;_-@_-"/>
    <numFmt numFmtId="171" formatCode="#,##0&quot; kW&quot;"/>
    <numFmt numFmtId="172" formatCode="0%;[Red]\(0%\);\-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i/>
      <sz val="11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sz val="10"/>
      <color rgb="FFC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C6EFCE"/>
        <bgColor rgb="FFD9E2F3"/>
      </patternFill>
    </fill>
    <fill>
      <patternFill patternType="solid">
        <fgColor rgb="FFEDEDED"/>
        <bgColor rgb="FFD9E2F3"/>
      </patternFill>
    </fill>
    <fill>
      <patternFill patternType="solid">
        <fgColor rgb="FFF8CBAD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164" fontId="7" fillId="4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65" fontId="7" fillId="4" borderId="1" xfId="0" applyNumberFormat="1" applyFont="1" applyFill="1" applyBorder="1" applyAlignment="1">
      <alignment horizontal="right" vertical="center"/>
    </xf>
    <xf numFmtId="166" fontId="7" fillId="4" borderId="1" xfId="0" applyNumberFormat="1" applyFont="1" applyFill="1" applyBorder="1" applyAlignment="1">
      <alignment horizontal="right" vertical="center"/>
    </xf>
    <xf numFmtId="167" fontId="8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8" fontId="7" fillId="0" borderId="1" xfId="0" applyNumberFormat="1" applyFont="1" applyBorder="1" applyAlignment="1">
      <alignment horizontal="right" vertical="center"/>
    </xf>
    <xf numFmtId="169" fontId="7" fillId="0" borderId="1" xfId="0" applyNumberFormat="1" applyFont="1" applyBorder="1" applyAlignment="1">
      <alignment horizontal="right" vertical="center"/>
    </xf>
    <xf numFmtId="170" fontId="7" fillId="4" borderId="1" xfId="0" applyNumberFormat="1" applyFont="1" applyFill="1" applyBorder="1" applyAlignment="1">
      <alignment horizontal="right" vertical="center"/>
    </xf>
    <xf numFmtId="170" fontId="7" fillId="0" borderId="1" xfId="0" applyNumberFormat="1" applyFont="1" applyBorder="1" applyAlignment="1">
      <alignment horizontal="right" vertical="center"/>
    </xf>
    <xf numFmtId="169" fontId="7" fillId="4" borderId="1" xfId="0" applyNumberFormat="1" applyFont="1" applyFill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165" fontId="8" fillId="5" borderId="1" xfId="0" applyNumberFormat="1" applyFont="1" applyFill="1" applyBorder="1" applyAlignment="1">
      <alignment horizontal="right" vertical="center"/>
    </xf>
    <xf numFmtId="169" fontId="9" fillId="0" borderId="1" xfId="0" applyNumberFormat="1" applyFont="1" applyBorder="1" applyAlignment="1">
      <alignment horizontal="right" vertical="center"/>
    </xf>
    <xf numFmtId="169" fontId="8" fillId="0" borderId="1" xfId="0" applyNumberFormat="1" applyFont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169" fontId="6" fillId="6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 wrapText="1"/>
    </xf>
    <xf numFmtId="169" fontId="4" fillId="2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 wrapText="1"/>
    </xf>
    <xf numFmtId="169" fontId="6" fillId="5" borderId="1" xfId="0" applyNumberFormat="1" applyFont="1" applyFill="1" applyBorder="1" applyAlignment="1">
      <alignment horizontal="right" vertical="center"/>
    </xf>
    <xf numFmtId="169" fontId="6" fillId="4" borderId="1" xfId="0" applyNumberFormat="1" applyFont="1" applyFill="1" applyBorder="1" applyAlignment="1">
      <alignment horizontal="right" vertical="center"/>
    </xf>
    <xf numFmtId="171" fontId="8" fillId="0" borderId="1" xfId="0" applyNumberFormat="1" applyFont="1" applyBorder="1" applyAlignment="1">
      <alignment horizontal="right" vertical="center"/>
    </xf>
    <xf numFmtId="171" fontId="6" fillId="6" borderId="1" xfId="0" applyNumberFormat="1" applyFont="1" applyFill="1" applyBorder="1" applyAlignment="1">
      <alignment horizontal="right" vertical="center"/>
    </xf>
    <xf numFmtId="170" fontId="6" fillId="6" borderId="1" xfId="0" applyNumberFormat="1" applyFont="1" applyFill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170" fontId="8" fillId="0" borderId="1" xfId="0" applyNumberFormat="1" applyFont="1" applyBorder="1" applyAlignment="1">
      <alignment horizontal="right" vertical="center"/>
    </xf>
    <xf numFmtId="172" fontId="4" fillId="2" borderId="1" xfId="0" applyNumberFormat="1" applyFont="1" applyFill="1" applyBorder="1" applyAlignment="1">
      <alignment horizontal="right" vertical="center"/>
    </xf>
    <xf numFmtId="170" fontId="4" fillId="2" borderId="1" xfId="0" applyNumberFormat="1" applyFont="1" applyFill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70" fontId="6" fillId="5" borderId="1" xfId="0" applyNumberFormat="1" applyFont="1" applyFill="1" applyBorder="1" applyAlignment="1">
      <alignment horizontal="right" vertical="center"/>
    </xf>
    <xf numFmtId="164" fontId="9" fillId="0" borderId="1" xfId="0" applyNumberFormat="1" applyFont="1" applyBorder="1" applyAlignment="1">
      <alignment horizontal="right" vertical="center"/>
    </xf>
    <xf numFmtId="170" fontId="9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69" fontId="6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wrapText="1"/>
    </xf>
    <xf numFmtId="169" fontId="4" fillId="5" borderId="1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17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170" fontId="8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170" fontId="6" fillId="4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 wrapText="1"/>
    </xf>
    <xf numFmtId="170" fontId="9" fillId="5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169" fontId="9" fillId="4" borderId="1" xfId="0" applyNumberFormat="1" applyFont="1" applyFill="1" applyBorder="1" applyAlignment="1">
      <alignment horizontal="right" vertical="center"/>
    </xf>
    <xf numFmtId="169" fontId="8" fillId="4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6" fontId="6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zoomScaleNormal="100" workbookViewId="0"/>
  </sheetViews>
  <sheetFormatPr defaultColWidth="8.6328125" defaultRowHeight="14.5" x14ac:dyDescent="0.35"/>
  <cols>
    <col min="1" max="1" width="110" customWidth="1"/>
  </cols>
  <sheetData>
    <row r="1" spans="1:1" ht="27.75" customHeight="1" x14ac:dyDescent="0.35">
      <c r="A1" s="4" t="s">
        <v>0</v>
      </c>
    </row>
    <row r="3" spans="1:1" x14ac:dyDescent="0.35">
      <c r="A3" s="5" t="s">
        <v>1</v>
      </c>
    </row>
    <row r="4" spans="1:1" ht="55.5" customHeight="1" x14ac:dyDescent="0.35">
      <c r="A4" s="6" t="s">
        <v>2</v>
      </c>
    </row>
    <row r="6" spans="1:1" x14ac:dyDescent="0.35">
      <c r="A6" s="5" t="s">
        <v>3</v>
      </c>
    </row>
    <row r="7" spans="1:1" ht="97.5" customHeight="1" x14ac:dyDescent="0.35">
      <c r="A7" s="6" t="s">
        <v>4</v>
      </c>
    </row>
    <row r="9" spans="1:1" x14ac:dyDescent="0.35">
      <c r="A9" s="5" t="s">
        <v>5</v>
      </c>
    </row>
    <row r="10" spans="1:1" ht="84" customHeight="1" x14ac:dyDescent="0.35">
      <c r="A10" s="6" t="s">
        <v>6</v>
      </c>
    </row>
    <row r="12" spans="1:1" x14ac:dyDescent="0.35">
      <c r="A12" s="5" t="s">
        <v>7</v>
      </c>
    </row>
    <row r="13" spans="1:1" ht="69.75" customHeight="1" x14ac:dyDescent="0.35">
      <c r="A13" s="6" t="s">
        <v>8</v>
      </c>
    </row>
    <row r="15" spans="1:1" x14ac:dyDescent="0.35">
      <c r="A15" s="5" t="s">
        <v>9</v>
      </c>
    </row>
    <row r="16" spans="1:1" ht="84" customHeight="1" x14ac:dyDescent="0.35">
      <c r="A16" s="6" t="s">
        <v>10</v>
      </c>
    </row>
    <row r="18" spans="1:1" x14ac:dyDescent="0.35">
      <c r="A18" s="5" t="s">
        <v>11</v>
      </c>
    </row>
    <row r="19" spans="1:1" ht="55.5" customHeight="1" x14ac:dyDescent="0.35">
      <c r="A19" s="6" t="s">
        <v>12</v>
      </c>
    </row>
    <row r="21" spans="1:1" x14ac:dyDescent="0.35">
      <c r="A21" s="5" t="s">
        <v>13</v>
      </c>
    </row>
    <row r="22" spans="1:1" ht="42" customHeight="1" x14ac:dyDescent="0.35">
      <c r="A22" s="6" t="s">
        <v>14</v>
      </c>
    </row>
    <row r="24" spans="1:1" x14ac:dyDescent="0.35">
      <c r="A24" s="5" t="s">
        <v>15</v>
      </c>
    </row>
    <row r="25" spans="1:1" ht="42" customHeight="1" x14ac:dyDescent="0.35">
      <c r="A25" s="6" t="s">
        <v>16</v>
      </c>
    </row>
    <row r="27" spans="1:1" x14ac:dyDescent="0.35">
      <c r="A27" s="5" t="s">
        <v>17</v>
      </c>
    </row>
    <row r="28" spans="1:1" ht="55.5" customHeight="1" x14ac:dyDescent="0.35">
      <c r="A28" s="6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3"/>
  <sheetViews>
    <sheetView zoomScaleNormal="100" workbookViewId="0"/>
  </sheetViews>
  <sheetFormatPr defaultColWidth="8.6328125" defaultRowHeight="14.5" x14ac:dyDescent="0.35"/>
  <cols>
    <col min="1" max="1" width="44" customWidth="1"/>
    <col min="2" max="2" width="18" customWidth="1"/>
    <col min="3" max="3" width="14" customWidth="1"/>
    <col min="4" max="4" width="75" customWidth="1"/>
  </cols>
  <sheetData>
    <row r="1" spans="1:4" ht="21.75" customHeight="1" x14ac:dyDescent="0.35">
      <c r="A1" s="3" t="s">
        <v>19</v>
      </c>
      <c r="B1" s="3"/>
      <c r="C1" s="3"/>
      <c r="D1" s="3"/>
    </row>
    <row r="2" spans="1:4" x14ac:dyDescent="0.35">
      <c r="A2" s="7" t="s">
        <v>20</v>
      </c>
      <c r="B2" s="7" t="s">
        <v>21</v>
      </c>
      <c r="C2" s="7" t="s">
        <v>22</v>
      </c>
      <c r="D2" s="7" t="s">
        <v>23</v>
      </c>
    </row>
    <row r="3" spans="1:4" ht="15" customHeight="1" x14ac:dyDescent="0.35">
      <c r="A3" s="2" t="s">
        <v>24</v>
      </c>
      <c r="B3" s="2"/>
      <c r="C3" s="2"/>
      <c r="D3" s="2"/>
    </row>
    <row r="4" spans="1:4" x14ac:dyDescent="0.35">
      <c r="A4" s="8" t="s">
        <v>25</v>
      </c>
      <c r="B4" s="9">
        <v>1000000</v>
      </c>
      <c r="C4" s="10" t="s">
        <v>26</v>
      </c>
      <c r="D4" s="11" t="s">
        <v>27</v>
      </c>
    </row>
    <row r="5" spans="1:4" x14ac:dyDescent="0.35">
      <c r="A5" s="8" t="s">
        <v>28</v>
      </c>
      <c r="B5" s="12">
        <v>0.35</v>
      </c>
      <c r="C5" s="10" t="s">
        <v>29</v>
      </c>
      <c r="D5" s="11" t="s">
        <v>30</v>
      </c>
    </row>
    <row r="6" spans="1:4" x14ac:dyDescent="0.35">
      <c r="A6" s="8" t="s">
        <v>31</v>
      </c>
      <c r="B6" s="13">
        <v>2</v>
      </c>
      <c r="C6" s="10" t="s">
        <v>32</v>
      </c>
      <c r="D6" s="11" t="s">
        <v>33</v>
      </c>
    </row>
    <row r="7" spans="1:4" x14ac:dyDescent="0.35">
      <c r="A7" s="8" t="s">
        <v>34</v>
      </c>
      <c r="B7" s="13">
        <v>8.9</v>
      </c>
      <c r="C7" s="10" t="s">
        <v>35</v>
      </c>
      <c r="D7" s="11" t="s">
        <v>36</v>
      </c>
    </row>
    <row r="8" spans="1:4" x14ac:dyDescent="0.35">
      <c r="A8" s="11" t="s">
        <v>37</v>
      </c>
      <c r="B8" s="14">
        <f>(B5*B4*B6*30*3600*B7)/8/1024/1024/1024</f>
        <v>78.328885138034821</v>
      </c>
      <c r="C8" s="10" t="s">
        <v>38</v>
      </c>
      <c r="D8" s="11" t="s">
        <v>39</v>
      </c>
    </row>
    <row r="9" spans="1:4" x14ac:dyDescent="0.35">
      <c r="A9" s="11" t="s">
        <v>40</v>
      </c>
      <c r="B9" s="15">
        <v>0.2</v>
      </c>
      <c r="C9" s="10" t="s">
        <v>29</v>
      </c>
      <c r="D9" s="11" t="s">
        <v>41</v>
      </c>
    </row>
    <row r="10" spans="1:4" x14ac:dyDescent="0.35">
      <c r="A10" s="8" t="s">
        <v>42</v>
      </c>
      <c r="B10" s="12">
        <v>0.12</v>
      </c>
      <c r="C10" s="10" t="s">
        <v>29</v>
      </c>
      <c r="D10" s="11" t="s">
        <v>43</v>
      </c>
    </row>
    <row r="11" spans="1:4" ht="15" customHeight="1" x14ac:dyDescent="0.35">
      <c r="A11" s="2" t="s">
        <v>44</v>
      </c>
      <c r="B11" s="2"/>
      <c r="C11" s="2"/>
      <c r="D11" s="2"/>
    </row>
    <row r="12" spans="1:4" x14ac:dyDescent="0.35">
      <c r="A12" s="8" t="s">
        <v>45</v>
      </c>
      <c r="B12" s="9">
        <v>100000</v>
      </c>
      <c r="C12" s="10" t="s">
        <v>46</v>
      </c>
      <c r="D12" s="11" t="s">
        <v>33</v>
      </c>
    </row>
    <row r="13" spans="1:4" x14ac:dyDescent="0.35">
      <c r="A13" s="11" t="s">
        <v>47</v>
      </c>
      <c r="B13" s="16">
        <v>2</v>
      </c>
      <c r="C13" s="10" t="s">
        <v>32</v>
      </c>
      <c r="D13" s="11" t="s">
        <v>33</v>
      </c>
    </row>
    <row r="14" spans="1:4" ht="25" x14ac:dyDescent="0.35">
      <c r="A14" s="11" t="s">
        <v>48</v>
      </c>
      <c r="B14" s="17">
        <v>22</v>
      </c>
      <c r="C14" s="10" t="s">
        <v>49</v>
      </c>
      <c r="D14" s="11" t="s">
        <v>50</v>
      </c>
    </row>
    <row r="15" spans="1:4" x14ac:dyDescent="0.35">
      <c r="A15" s="11" t="s">
        <v>51</v>
      </c>
      <c r="B15" s="18">
        <v>2.5</v>
      </c>
      <c r="C15" s="10" t="s">
        <v>52</v>
      </c>
      <c r="D15" s="11" t="s">
        <v>53</v>
      </c>
    </row>
    <row r="16" spans="1:4" ht="25" x14ac:dyDescent="0.35">
      <c r="A16" s="11" t="s">
        <v>54</v>
      </c>
      <c r="B16" s="18">
        <v>2.5</v>
      </c>
      <c r="C16" s="10" t="s">
        <v>52</v>
      </c>
      <c r="D16" s="11" t="s">
        <v>55</v>
      </c>
    </row>
    <row r="17" spans="1:4" x14ac:dyDescent="0.35">
      <c r="A17" s="8" t="s">
        <v>56</v>
      </c>
      <c r="B17" s="12">
        <v>0.1</v>
      </c>
      <c r="C17" s="10" t="s">
        <v>29</v>
      </c>
      <c r="D17" s="11" t="s">
        <v>57</v>
      </c>
    </row>
    <row r="18" spans="1:4" x14ac:dyDescent="0.35">
      <c r="A18" s="11" t="s">
        <v>58</v>
      </c>
      <c r="B18" s="14">
        <f>B12*B14*B15*B16/1048576</f>
        <v>13.113021850585938</v>
      </c>
      <c r="C18" s="10" t="s">
        <v>59</v>
      </c>
      <c r="D18" s="11" t="s">
        <v>60</v>
      </c>
    </row>
    <row r="19" spans="1:4" ht="15" customHeight="1" x14ac:dyDescent="0.35">
      <c r="A19" s="2" t="s">
        <v>61</v>
      </c>
      <c r="B19" s="2"/>
      <c r="C19" s="2"/>
      <c r="D19" s="2"/>
    </row>
    <row r="20" spans="1:4" x14ac:dyDescent="0.35">
      <c r="A20" s="11" t="s">
        <v>62</v>
      </c>
      <c r="B20" s="17">
        <v>2</v>
      </c>
      <c r="C20" s="10" t="s">
        <v>63</v>
      </c>
      <c r="D20" s="11" t="s">
        <v>64</v>
      </c>
    </row>
    <row r="21" spans="1:4" x14ac:dyDescent="0.35">
      <c r="A21" s="8" t="s">
        <v>65</v>
      </c>
      <c r="B21" s="13">
        <v>1.5</v>
      </c>
      <c r="C21" s="10" t="s">
        <v>29</v>
      </c>
      <c r="D21" s="11" t="s">
        <v>66</v>
      </c>
    </row>
    <row r="22" spans="1:4" x14ac:dyDescent="0.35">
      <c r="A22" s="8" t="s">
        <v>67</v>
      </c>
      <c r="B22" s="13">
        <v>0.12</v>
      </c>
      <c r="C22" s="10" t="s">
        <v>68</v>
      </c>
      <c r="D22" s="11" t="s">
        <v>69</v>
      </c>
    </row>
    <row r="23" spans="1:4" x14ac:dyDescent="0.35">
      <c r="A23" s="11" t="s">
        <v>70</v>
      </c>
      <c r="B23" s="19">
        <v>1500</v>
      </c>
      <c r="C23" s="10" t="s">
        <v>71</v>
      </c>
      <c r="D23" s="11" t="s">
        <v>72</v>
      </c>
    </row>
    <row r="24" spans="1:4" x14ac:dyDescent="0.35">
      <c r="A24" s="11" t="s">
        <v>73</v>
      </c>
      <c r="B24" s="19">
        <v>50000</v>
      </c>
      <c r="C24" s="10" t="s">
        <v>71</v>
      </c>
      <c r="D24" s="11" t="s">
        <v>74</v>
      </c>
    </row>
    <row r="25" spans="1:4" x14ac:dyDescent="0.35">
      <c r="A25" s="11" t="s">
        <v>75</v>
      </c>
      <c r="B25" s="15">
        <v>7.0000000000000007E-2</v>
      </c>
      <c r="C25" s="10" t="s">
        <v>29</v>
      </c>
      <c r="D25" s="11" t="s">
        <v>76</v>
      </c>
    </row>
    <row r="26" spans="1:4" x14ac:dyDescent="0.35">
      <c r="A26" s="11" t="s">
        <v>77</v>
      </c>
      <c r="B26" s="17">
        <v>5</v>
      </c>
      <c r="C26" s="10" t="s">
        <v>78</v>
      </c>
      <c r="D26" s="11" t="s">
        <v>79</v>
      </c>
    </row>
    <row r="27" spans="1:4" x14ac:dyDescent="0.35">
      <c r="A27" s="11" t="s">
        <v>80</v>
      </c>
      <c r="B27" s="15">
        <v>0.15</v>
      </c>
      <c r="C27" s="10" t="s">
        <v>29</v>
      </c>
      <c r="D27" s="11" t="s">
        <v>81</v>
      </c>
    </row>
    <row r="28" spans="1:4" ht="15" customHeight="1" x14ac:dyDescent="0.35">
      <c r="A28" s="2" t="s">
        <v>82</v>
      </c>
      <c r="B28" s="2"/>
      <c r="C28" s="2"/>
      <c r="D28" s="2"/>
    </row>
    <row r="29" spans="1:4" ht="25" x14ac:dyDescent="0.35">
      <c r="A29" s="11" t="s">
        <v>83</v>
      </c>
      <c r="B29" s="19">
        <v>48000</v>
      </c>
      <c r="C29" s="10" t="s">
        <v>84</v>
      </c>
      <c r="D29" s="11" t="s">
        <v>85</v>
      </c>
    </row>
    <row r="30" spans="1:4" x14ac:dyDescent="0.35">
      <c r="A30" s="11" t="s">
        <v>86</v>
      </c>
      <c r="B30" s="19">
        <v>280000</v>
      </c>
      <c r="C30" s="10" t="s">
        <v>84</v>
      </c>
      <c r="D30" s="11" t="s">
        <v>87</v>
      </c>
    </row>
    <row r="31" spans="1:4" x14ac:dyDescent="0.35">
      <c r="A31" s="11" t="s">
        <v>88</v>
      </c>
      <c r="B31" s="19">
        <v>32000</v>
      </c>
      <c r="C31" s="10" t="s">
        <v>89</v>
      </c>
      <c r="D31" s="11" t="s">
        <v>90</v>
      </c>
    </row>
    <row r="32" spans="1:4" x14ac:dyDescent="0.35">
      <c r="A32" s="11" t="s">
        <v>91</v>
      </c>
      <c r="B32" s="19">
        <v>65000</v>
      </c>
      <c r="C32" s="10" t="s">
        <v>89</v>
      </c>
      <c r="D32" s="11" t="s">
        <v>92</v>
      </c>
    </row>
    <row r="33" spans="1:4" x14ac:dyDescent="0.35">
      <c r="A33" s="11" t="s">
        <v>93</v>
      </c>
      <c r="B33" s="19">
        <v>180000</v>
      </c>
      <c r="C33" s="10" t="s">
        <v>94</v>
      </c>
      <c r="D33" s="11" t="s">
        <v>95</v>
      </c>
    </row>
    <row r="34" spans="1:4" x14ac:dyDescent="0.35">
      <c r="A34" s="11" t="s">
        <v>96</v>
      </c>
      <c r="B34" s="19">
        <v>35000</v>
      </c>
      <c r="C34" s="10" t="s">
        <v>94</v>
      </c>
      <c r="D34" s="11" t="s">
        <v>97</v>
      </c>
    </row>
    <row r="35" spans="1:4" x14ac:dyDescent="0.35">
      <c r="A35" s="11" t="s">
        <v>98</v>
      </c>
      <c r="B35" s="19">
        <v>120000</v>
      </c>
      <c r="C35" s="10" t="s">
        <v>94</v>
      </c>
      <c r="D35" s="11" t="s">
        <v>99</v>
      </c>
    </row>
    <row r="36" spans="1:4" x14ac:dyDescent="0.35">
      <c r="A36" s="11" t="s">
        <v>100</v>
      </c>
      <c r="B36" s="19">
        <v>80000</v>
      </c>
      <c r="C36" s="10" t="s">
        <v>101</v>
      </c>
      <c r="D36" s="11" t="s">
        <v>102</v>
      </c>
    </row>
    <row r="37" spans="1:4" x14ac:dyDescent="0.35">
      <c r="A37" s="11" t="s">
        <v>103</v>
      </c>
      <c r="B37" s="19">
        <v>80000</v>
      </c>
      <c r="C37" s="10" t="s">
        <v>101</v>
      </c>
      <c r="D37" s="11" t="s">
        <v>104</v>
      </c>
    </row>
    <row r="38" spans="1:4" x14ac:dyDescent="0.35">
      <c r="A38" s="11" t="s">
        <v>105</v>
      </c>
      <c r="B38" s="19">
        <v>4000</v>
      </c>
      <c r="C38" s="10" t="s">
        <v>106</v>
      </c>
      <c r="D38" s="11" t="s">
        <v>107</v>
      </c>
    </row>
    <row r="39" spans="1:4" x14ac:dyDescent="0.35">
      <c r="A39" s="11" t="s">
        <v>108</v>
      </c>
      <c r="B39" s="15">
        <v>0.2</v>
      </c>
      <c r="C39" s="10" t="s">
        <v>29</v>
      </c>
      <c r="D39" s="11" t="s">
        <v>109</v>
      </c>
    </row>
    <row r="40" spans="1:4" ht="15" customHeight="1" x14ac:dyDescent="0.35">
      <c r="A40" s="2" t="s">
        <v>110</v>
      </c>
      <c r="B40" s="2"/>
      <c r="C40" s="2"/>
      <c r="D40" s="2"/>
    </row>
    <row r="41" spans="1:4" x14ac:dyDescent="0.35">
      <c r="A41" s="11" t="s">
        <v>111</v>
      </c>
      <c r="B41" s="17">
        <v>81</v>
      </c>
      <c r="C41" s="10" t="s">
        <v>112</v>
      </c>
      <c r="D41" s="11" t="s">
        <v>113</v>
      </c>
    </row>
    <row r="42" spans="1:4" x14ac:dyDescent="0.35">
      <c r="A42" s="11" t="s">
        <v>114</v>
      </c>
      <c r="B42" s="17">
        <v>3180</v>
      </c>
      <c r="C42" s="10" t="s">
        <v>115</v>
      </c>
      <c r="D42" s="11" t="s">
        <v>116</v>
      </c>
    </row>
    <row r="43" spans="1:4" x14ac:dyDescent="0.35">
      <c r="A43" s="11" t="s">
        <v>117</v>
      </c>
      <c r="B43" s="17">
        <v>12720</v>
      </c>
      <c r="C43" s="10" t="s">
        <v>49</v>
      </c>
      <c r="D43" s="11" t="s">
        <v>116</v>
      </c>
    </row>
    <row r="44" spans="1:4" x14ac:dyDescent="0.35">
      <c r="A44" s="11" t="s">
        <v>118</v>
      </c>
      <c r="B44" s="17">
        <v>42</v>
      </c>
      <c r="C44" s="10" t="s">
        <v>119</v>
      </c>
      <c r="D44" s="11" t="s">
        <v>116</v>
      </c>
    </row>
    <row r="45" spans="1:4" x14ac:dyDescent="0.35">
      <c r="A45" s="11" t="s">
        <v>120</v>
      </c>
      <c r="B45" s="16" t="s">
        <v>121</v>
      </c>
      <c r="C45" s="10" t="s">
        <v>122</v>
      </c>
      <c r="D45" s="11" t="s">
        <v>123</v>
      </c>
    </row>
    <row r="46" spans="1:4" x14ac:dyDescent="0.35">
      <c r="A46" s="11" t="s">
        <v>124</v>
      </c>
      <c r="B46" s="17">
        <v>7</v>
      </c>
      <c r="C46" s="10" t="s">
        <v>78</v>
      </c>
      <c r="D46" s="11" t="s">
        <v>125</v>
      </c>
    </row>
    <row r="47" spans="1:4" x14ac:dyDescent="0.35">
      <c r="A47" s="11" t="s">
        <v>126</v>
      </c>
      <c r="B47" s="17">
        <v>12</v>
      </c>
      <c r="C47" s="10" t="s">
        <v>127</v>
      </c>
      <c r="D47" s="11" t="s">
        <v>128</v>
      </c>
    </row>
    <row r="48" spans="1:4" ht="15" customHeight="1" x14ac:dyDescent="0.35">
      <c r="A48" s="2" t="s">
        <v>129</v>
      </c>
      <c r="B48" s="2"/>
      <c r="C48" s="2"/>
      <c r="D48" s="2"/>
    </row>
    <row r="49" spans="1:4" x14ac:dyDescent="0.35">
      <c r="A49" s="8" t="s">
        <v>130</v>
      </c>
      <c r="B49" s="20">
        <v>8.5000000000000006E-3</v>
      </c>
      <c r="C49" s="10" t="s">
        <v>131</v>
      </c>
      <c r="D49" s="11" t="s">
        <v>132</v>
      </c>
    </row>
    <row r="50" spans="1:4" x14ac:dyDescent="0.35">
      <c r="A50" s="11" t="s">
        <v>133</v>
      </c>
      <c r="B50" s="21">
        <v>0.4</v>
      </c>
      <c r="C50" s="10" t="s">
        <v>134</v>
      </c>
      <c r="D50" s="11" t="s">
        <v>135</v>
      </c>
    </row>
    <row r="51" spans="1:4" x14ac:dyDescent="0.35">
      <c r="A51" s="11" t="s">
        <v>136</v>
      </c>
      <c r="B51" s="17">
        <v>200000</v>
      </c>
      <c r="C51" s="10" t="s">
        <v>35</v>
      </c>
      <c r="D51" s="11" t="s">
        <v>137</v>
      </c>
    </row>
    <row r="52" spans="1:4" x14ac:dyDescent="0.35">
      <c r="A52" s="11" t="s">
        <v>138</v>
      </c>
      <c r="B52" s="19">
        <v>360000</v>
      </c>
      <c r="C52" s="10" t="s">
        <v>139</v>
      </c>
      <c r="D52" s="11" t="s">
        <v>140</v>
      </c>
    </row>
    <row r="53" spans="1:4" x14ac:dyDescent="0.35">
      <c r="A53" s="11" t="s">
        <v>141</v>
      </c>
      <c r="B53" s="19">
        <v>200000</v>
      </c>
      <c r="C53" s="10" t="s">
        <v>139</v>
      </c>
      <c r="D53" s="11" t="s">
        <v>142</v>
      </c>
    </row>
    <row r="54" spans="1:4" ht="15" customHeight="1" x14ac:dyDescent="0.35">
      <c r="A54" s="2" t="s">
        <v>143</v>
      </c>
      <c r="B54" s="2"/>
      <c r="C54" s="2"/>
      <c r="D54" s="2"/>
    </row>
    <row r="55" spans="1:4" ht="26" x14ac:dyDescent="0.35">
      <c r="A55" s="8" t="s">
        <v>144</v>
      </c>
      <c r="B55" s="22">
        <v>240000</v>
      </c>
      <c r="C55" s="10" t="s">
        <v>139</v>
      </c>
      <c r="D55" s="11" t="s">
        <v>145</v>
      </c>
    </row>
    <row r="56" spans="1:4" x14ac:dyDescent="0.35">
      <c r="A56" s="11" t="s">
        <v>146</v>
      </c>
      <c r="B56" s="17">
        <v>33</v>
      </c>
      <c r="C56" s="10" t="s">
        <v>147</v>
      </c>
      <c r="D56" s="11" t="s">
        <v>148</v>
      </c>
    </row>
    <row r="57" spans="1:4" x14ac:dyDescent="0.35">
      <c r="A57" s="11" t="s">
        <v>149</v>
      </c>
      <c r="B57" s="17">
        <v>4</v>
      </c>
      <c r="C57" s="10" t="s">
        <v>147</v>
      </c>
      <c r="D57" s="11" t="s">
        <v>150</v>
      </c>
    </row>
    <row r="58" spans="1:4" x14ac:dyDescent="0.35">
      <c r="A58" s="11" t="s">
        <v>151</v>
      </c>
      <c r="B58" s="17">
        <v>2</v>
      </c>
      <c r="C58" s="10" t="s">
        <v>147</v>
      </c>
      <c r="D58" s="11" t="s">
        <v>125</v>
      </c>
    </row>
    <row r="59" spans="1:4" x14ac:dyDescent="0.35">
      <c r="A59" s="11" t="s">
        <v>152</v>
      </c>
      <c r="B59" s="23">
        <f>B56+B57+B58</f>
        <v>39</v>
      </c>
      <c r="C59" s="10" t="s">
        <v>147</v>
      </c>
      <c r="D59" s="11" t="s">
        <v>153</v>
      </c>
    </row>
    <row r="60" spans="1:4" ht="15" customHeight="1" x14ac:dyDescent="0.35">
      <c r="A60" s="2" t="s">
        <v>154</v>
      </c>
      <c r="B60" s="2"/>
      <c r="C60" s="2"/>
      <c r="D60" s="2"/>
    </row>
    <row r="61" spans="1:4" x14ac:dyDescent="0.35">
      <c r="A61" s="11" t="s">
        <v>155</v>
      </c>
      <c r="B61" s="19">
        <v>300000</v>
      </c>
      <c r="C61" s="10" t="s">
        <v>139</v>
      </c>
      <c r="D61" s="11" t="s">
        <v>156</v>
      </c>
    </row>
    <row r="62" spans="1:4" x14ac:dyDescent="0.35">
      <c r="A62" s="11" t="s">
        <v>157</v>
      </c>
      <c r="B62" s="19">
        <v>250000</v>
      </c>
      <c r="C62" s="10" t="s">
        <v>139</v>
      </c>
      <c r="D62" s="11" t="s">
        <v>158</v>
      </c>
    </row>
    <row r="63" spans="1:4" x14ac:dyDescent="0.35">
      <c r="A63" s="11" t="s">
        <v>159</v>
      </c>
      <c r="B63" s="19">
        <v>80000</v>
      </c>
      <c r="C63" s="10" t="s">
        <v>139</v>
      </c>
      <c r="D63" s="11" t="s">
        <v>160</v>
      </c>
    </row>
    <row r="64" spans="1:4" x14ac:dyDescent="0.35">
      <c r="A64" s="11" t="s">
        <v>161</v>
      </c>
      <c r="B64" s="19">
        <v>200000</v>
      </c>
      <c r="C64" s="10" t="s">
        <v>139</v>
      </c>
      <c r="D64" s="11" t="s">
        <v>162</v>
      </c>
    </row>
    <row r="65" spans="1:4" x14ac:dyDescent="0.35">
      <c r="A65" s="11" t="s">
        <v>163</v>
      </c>
      <c r="B65" s="19">
        <v>120000</v>
      </c>
      <c r="C65" s="10" t="s">
        <v>139</v>
      </c>
      <c r="D65" s="11" t="s">
        <v>164</v>
      </c>
    </row>
    <row r="66" spans="1:4" x14ac:dyDescent="0.35">
      <c r="A66" s="11" t="s">
        <v>165</v>
      </c>
      <c r="B66" s="19">
        <v>150000</v>
      </c>
      <c r="C66" s="10" t="s">
        <v>139</v>
      </c>
      <c r="D66" s="11" t="s">
        <v>166</v>
      </c>
    </row>
    <row r="67" spans="1:4" x14ac:dyDescent="0.35">
      <c r="A67" s="11" t="s">
        <v>167</v>
      </c>
      <c r="B67" s="19">
        <v>150000</v>
      </c>
      <c r="C67" s="10" t="s">
        <v>139</v>
      </c>
      <c r="D67" s="11" t="s">
        <v>168</v>
      </c>
    </row>
    <row r="68" spans="1:4" x14ac:dyDescent="0.35">
      <c r="A68" s="11" t="s">
        <v>169</v>
      </c>
      <c r="B68" s="19">
        <v>80000</v>
      </c>
      <c r="C68" s="10" t="s">
        <v>139</v>
      </c>
      <c r="D68" s="11" t="s">
        <v>170</v>
      </c>
    </row>
    <row r="69" spans="1:4" x14ac:dyDescent="0.35">
      <c r="A69" s="11" t="s">
        <v>171</v>
      </c>
      <c r="B69" s="19">
        <v>100000</v>
      </c>
      <c r="C69" s="10" t="s">
        <v>139</v>
      </c>
      <c r="D69" s="11" t="s">
        <v>172</v>
      </c>
    </row>
    <row r="70" spans="1:4" x14ac:dyDescent="0.35">
      <c r="A70" s="11" t="s">
        <v>173</v>
      </c>
      <c r="B70" s="19">
        <v>250000</v>
      </c>
      <c r="C70" s="10" t="s">
        <v>139</v>
      </c>
      <c r="D70" s="11" t="s">
        <v>174</v>
      </c>
    </row>
    <row r="71" spans="1:4" x14ac:dyDescent="0.35">
      <c r="A71" s="11" t="s">
        <v>175</v>
      </c>
      <c r="B71" s="19">
        <v>150000</v>
      </c>
      <c r="C71" s="10" t="s">
        <v>139</v>
      </c>
      <c r="D71" s="11" t="s">
        <v>176</v>
      </c>
    </row>
    <row r="72" spans="1:4" x14ac:dyDescent="0.35">
      <c r="A72" s="11" t="s">
        <v>177</v>
      </c>
      <c r="B72" s="19">
        <v>220000</v>
      </c>
      <c r="C72" s="10" t="s">
        <v>139</v>
      </c>
      <c r="D72" s="11" t="s">
        <v>178</v>
      </c>
    </row>
    <row r="73" spans="1:4" ht="15" customHeight="1" x14ac:dyDescent="0.35">
      <c r="A73" s="2" t="s">
        <v>179</v>
      </c>
      <c r="B73" s="2"/>
      <c r="C73" s="2"/>
      <c r="D73" s="2"/>
    </row>
    <row r="74" spans="1:4" ht="25" x14ac:dyDescent="0.35">
      <c r="A74" s="11" t="s">
        <v>180</v>
      </c>
      <c r="B74" s="19">
        <v>300000</v>
      </c>
      <c r="C74" s="10" t="s">
        <v>139</v>
      </c>
      <c r="D74" s="11" t="s">
        <v>181</v>
      </c>
    </row>
    <row r="75" spans="1:4" x14ac:dyDescent="0.35">
      <c r="A75" s="11" t="s">
        <v>182</v>
      </c>
      <c r="B75" s="17">
        <v>5</v>
      </c>
      <c r="C75" s="10" t="s">
        <v>183</v>
      </c>
      <c r="D75" s="11" t="s">
        <v>184</v>
      </c>
    </row>
    <row r="76" spans="1:4" x14ac:dyDescent="0.35">
      <c r="A76" s="11" t="s">
        <v>185</v>
      </c>
      <c r="B76" s="19">
        <v>400000</v>
      </c>
      <c r="C76" s="10" t="s">
        <v>139</v>
      </c>
      <c r="D76" s="11" t="s">
        <v>186</v>
      </c>
    </row>
    <row r="77" spans="1:4" x14ac:dyDescent="0.35">
      <c r="A77" s="11" t="s">
        <v>187</v>
      </c>
      <c r="B77" s="19">
        <v>200000</v>
      </c>
      <c r="C77" s="10" t="s">
        <v>139</v>
      </c>
      <c r="D77" s="11" t="s">
        <v>188</v>
      </c>
    </row>
    <row r="78" spans="1:4" x14ac:dyDescent="0.35">
      <c r="A78" s="11" t="s">
        <v>189</v>
      </c>
      <c r="B78" s="19">
        <v>120000</v>
      </c>
      <c r="C78" s="10" t="s">
        <v>139</v>
      </c>
      <c r="D78" s="11" t="s">
        <v>190</v>
      </c>
    </row>
    <row r="79" spans="1:4" x14ac:dyDescent="0.35">
      <c r="A79" s="11" t="s">
        <v>191</v>
      </c>
      <c r="B79" s="19">
        <v>400000</v>
      </c>
      <c r="C79" s="10" t="s">
        <v>139</v>
      </c>
      <c r="D79" s="11" t="s">
        <v>192</v>
      </c>
    </row>
    <row r="80" spans="1:4" x14ac:dyDescent="0.35">
      <c r="A80" s="11" t="s">
        <v>193</v>
      </c>
      <c r="B80" s="19">
        <v>250000</v>
      </c>
      <c r="C80" s="10" t="s">
        <v>139</v>
      </c>
      <c r="D80" s="11" t="s">
        <v>194</v>
      </c>
    </row>
    <row r="81" spans="1:4" x14ac:dyDescent="0.35">
      <c r="A81" s="11" t="s">
        <v>195</v>
      </c>
      <c r="B81" s="19">
        <v>150000</v>
      </c>
      <c r="C81" s="10" t="s">
        <v>139</v>
      </c>
      <c r="D81" s="11" t="s">
        <v>196</v>
      </c>
    </row>
    <row r="82" spans="1:4" ht="15" customHeight="1" x14ac:dyDescent="0.35">
      <c r="A82" s="2" t="s">
        <v>197</v>
      </c>
      <c r="B82" s="2"/>
      <c r="C82" s="2"/>
      <c r="D82" s="2"/>
    </row>
    <row r="83" spans="1:4" x14ac:dyDescent="0.35">
      <c r="A83" s="8" t="s">
        <v>198</v>
      </c>
      <c r="B83" s="12">
        <v>0.2</v>
      </c>
      <c r="C83" s="10" t="s">
        <v>199</v>
      </c>
      <c r="D83" s="11" t="s">
        <v>200</v>
      </c>
    </row>
    <row r="84" spans="1:4" x14ac:dyDescent="0.35">
      <c r="A84" s="8" t="s">
        <v>201</v>
      </c>
      <c r="B84" s="12">
        <v>0.1</v>
      </c>
      <c r="C84" s="10" t="s">
        <v>199</v>
      </c>
      <c r="D84" s="11" t="s">
        <v>202</v>
      </c>
    </row>
    <row r="85" spans="1:4" x14ac:dyDescent="0.35">
      <c r="A85" s="8" t="s">
        <v>203</v>
      </c>
      <c r="B85" s="12">
        <v>0.4</v>
      </c>
      <c r="C85" s="10" t="s">
        <v>199</v>
      </c>
      <c r="D85" s="11" t="s">
        <v>204</v>
      </c>
    </row>
    <row r="86" spans="1:4" x14ac:dyDescent="0.35">
      <c r="A86" s="8" t="s">
        <v>205</v>
      </c>
      <c r="B86" s="12">
        <v>0.25</v>
      </c>
      <c r="C86" s="10" t="s">
        <v>199</v>
      </c>
      <c r="D86" s="11" t="s">
        <v>206</v>
      </c>
    </row>
    <row r="87" spans="1:4" ht="26" x14ac:dyDescent="0.35">
      <c r="A87" s="8" t="s">
        <v>207</v>
      </c>
      <c r="B87" s="12">
        <v>0.05</v>
      </c>
      <c r="C87" s="10" t="s">
        <v>199</v>
      </c>
      <c r="D87" s="11" t="s">
        <v>208</v>
      </c>
    </row>
    <row r="88" spans="1:4" x14ac:dyDescent="0.35">
      <c r="A88" s="11" t="s">
        <v>209</v>
      </c>
      <c r="B88" s="24">
        <f>B83+B84+B85+B86+B87</f>
        <v>1</v>
      </c>
      <c r="C88" s="10" t="s">
        <v>29</v>
      </c>
      <c r="D88" s="11" t="s">
        <v>210</v>
      </c>
    </row>
    <row r="89" spans="1:4" x14ac:dyDescent="0.35">
      <c r="A89" s="8" t="s">
        <v>211</v>
      </c>
      <c r="B89" s="12">
        <v>0.05</v>
      </c>
      <c r="C89" s="10" t="s">
        <v>29</v>
      </c>
      <c r="D89" s="11" t="s">
        <v>212</v>
      </c>
    </row>
    <row r="90" spans="1:4" x14ac:dyDescent="0.35">
      <c r="A90" s="11" t="s">
        <v>213</v>
      </c>
      <c r="B90" s="17">
        <v>4</v>
      </c>
      <c r="C90" s="10" t="s">
        <v>78</v>
      </c>
      <c r="D90" s="11" t="s">
        <v>214</v>
      </c>
    </row>
    <row r="91" spans="1:4" x14ac:dyDescent="0.35">
      <c r="A91" s="11" t="s">
        <v>215</v>
      </c>
      <c r="B91" s="15">
        <v>0.42</v>
      </c>
      <c r="C91" s="10" t="s">
        <v>29</v>
      </c>
      <c r="D91" s="11" t="s">
        <v>216</v>
      </c>
    </row>
    <row r="92" spans="1:4" x14ac:dyDescent="0.35">
      <c r="A92" s="11" t="s">
        <v>217</v>
      </c>
      <c r="B92" s="15">
        <v>0.1</v>
      </c>
      <c r="C92" s="10" t="s">
        <v>29</v>
      </c>
      <c r="D92" s="11" t="s">
        <v>218</v>
      </c>
    </row>
    <row r="93" spans="1:4" x14ac:dyDescent="0.35">
      <c r="A93" s="11" t="s">
        <v>219</v>
      </c>
      <c r="B93" s="15">
        <v>0.08</v>
      </c>
      <c r="C93" s="10" t="s">
        <v>29</v>
      </c>
      <c r="D93" s="11"/>
    </row>
  </sheetData>
  <mergeCells count="11">
    <mergeCell ref="A82:D82"/>
    <mergeCell ref="A40:D40"/>
    <mergeCell ref="A48:D48"/>
    <mergeCell ref="A54:D54"/>
    <mergeCell ref="A60:D60"/>
    <mergeCell ref="A73:D73"/>
    <mergeCell ref="A1:D1"/>
    <mergeCell ref="A3:D3"/>
    <mergeCell ref="A11:D11"/>
    <mergeCell ref="A19:D19"/>
    <mergeCell ref="A28:D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zoomScaleNormal="100" workbookViewId="0"/>
  </sheetViews>
  <sheetFormatPr defaultColWidth="8.6328125" defaultRowHeight="14.5" x14ac:dyDescent="0.35"/>
  <cols>
    <col min="1" max="1" width="44" customWidth="1"/>
    <col min="2" max="2" width="18" customWidth="1"/>
    <col min="3" max="3" width="14" customWidth="1"/>
    <col min="4" max="4" width="75" customWidth="1"/>
  </cols>
  <sheetData>
    <row r="1" spans="1:4" ht="21.75" customHeight="1" x14ac:dyDescent="0.35">
      <c r="A1" s="3" t="s">
        <v>220</v>
      </c>
      <c r="B1" s="3"/>
      <c r="C1" s="3"/>
      <c r="D1" s="3"/>
    </row>
    <row r="2" spans="1:4" x14ac:dyDescent="0.35">
      <c r="A2" s="7" t="s">
        <v>221</v>
      </c>
      <c r="B2" s="7" t="s">
        <v>21</v>
      </c>
      <c r="C2" s="7" t="s">
        <v>22</v>
      </c>
      <c r="D2" s="7" t="s">
        <v>222</v>
      </c>
    </row>
    <row r="3" spans="1:4" x14ac:dyDescent="0.35">
      <c r="A3" s="11" t="s">
        <v>25</v>
      </c>
      <c r="B3" s="23">
        <f>Assumptions!$B$4</f>
        <v>1000000</v>
      </c>
      <c r="C3" s="10" t="s">
        <v>26</v>
      </c>
      <c r="D3" s="11" t="s">
        <v>223</v>
      </c>
    </row>
    <row r="4" spans="1:4" x14ac:dyDescent="0.35">
      <c r="A4" s="11" t="s">
        <v>224</v>
      </c>
      <c r="B4" s="23">
        <f>Assumptions!$B$4*Assumptions!$B$5</f>
        <v>350000</v>
      </c>
      <c r="C4" s="10" t="s">
        <v>225</v>
      </c>
      <c r="D4" s="11" t="s">
        <v>226</v>
      </c>
    </row>
    <row r="5" spans="1:4" ht="25" x14ac:dyDescent="0.35">
      <c r="A5" s="11" t="s">
        <v>227</v>
      </c>
      <c r="B5" s="23">
        <f>Assumptions!$B$4*Assumptions!$B$5*0.1</f>
        <v>35000</v>
      </c>
      <c r="C5" s="10" t="s">
        <v>228</v>
      </c>
      <c r="D5" s="11" t="s">
        <v>229</v>
      </c>
    </row>
    <row r="6" spans="1:4" x14ac:dyDescent="0.35">
      <c r="A6" s="11" t="s">
        <v>230</v>
      </c>
      <c r="B6" s="23">
        <f>Assumptions!$B$4*Assumptions!$B$5*0.1*Assumptions!$B$7/1000</f>
        <v>311.5</v>
      </c>
      <c r="C6" s="10" t="s">
        <v>231</v>
      </c>
      <c r="D6" s="11" t="s">
        <v>232</v>
      </c>
    </row>
    <row r="7" spans="1:4" ht="25" x14ac:dyDescent="0.35">
      <c r="A7" s="11" t="s">
        <v>233</v>
      </c>
      <c r="B7" s="14">
        <f>(Assumptions!$B$4*Assumptions!$B$5*Assumptions!$B$6*3600*Assumptions!$B$7)/8/1024/1024/1024</f>
        <v>2.610962837934494</v>
      </c>
      <c r="C7" s="10" t="s">
        <v>234</v>
      </c>
      <c r="D7" s="11" t="s">
        <v>235</v>
      </c>
    </row>
    <row r="8" spans="1:4" x14ac:dyDescent="0.35">
      <c r="A8" s="11" t="s">
        <v>236</v>
      </c>
      <c r="B8" s="14">
        <f>B7*30</f>
        <v>78.328885138034821</v>
      </c>
      <c r="C8" s="10" t="s">
        <v>38</v>
      </c>
      <c r="D8" s="11" t="s">
        <v>237</v>
      </c>
    </row>
    <row r="9" spans="1:4" x14ac:dyDescent="0.35">
      <c r="A9" s="11" t="s">
        <v>238</v>
      </c>
      <c r="B9" s="14">
        <f>B7*365</f>
        <v>953.00143584609032</v>
      </c>
      <c r="C9" s="10" t="s">
        <v>127</v>
      </c>
      <c r="D9" s="11" t="s">
        <v>239</v>
      </c>
    </row>
    <row r="10" spans="1:4" x14ac:dyDescent="0.35">
      <c r="A10" s="11" t="s">
        <v>240</v>
      </c>
      <c r="B10" s="14">
        <f>Assumptions!$B$18</f>
        <v>13.113021850585938</v>
      </c>
      <c r="C10" s="10" t="s">
        <v>59</v>
      </c>
      <c r="D10" s="11" t="s">
        <v>223</v>
      </c>
    </row>
    <row r="11" spans="1:4" x14ac:dyDescent="0.35">
      <c r="A11" s="11" t="s">
        <v>241</v>
      </c>
      <c r="B11" s="14">
        <f>B10*Assumptions!$B$17</f>
        <v>1.3113021850585938</v>
      </c>
      <c r="C11" s="10" t="s">
        <v>59</v>
      </c>
      <c r="D11" s="11" t="s">
        <v>242</v>
      </c>
    </row>
    <row r="12" spans="1:4" x14ac:dyDescent="0.35">
      <c r="A12" s="11" t="s">
        <v>243</v>
      </c>
      <c r="B12" s="14">
        <f>B10-B11</f>
        <v>11.801719665527344</v>
      </c>
      <c r="C12" s="10" t="s">
        <v>59</v>
      </c>
      <c r="D12" s="11" t="s">
        <v>244</v>
      </c>
    </row>
    <row r="13" spans="1:4" x14ac:dyDescent="0.35">
      <c r="A13" s="11" t="s">
        <v>245</v>
      </c>
      <c r="B13" s="14">
        <f>Assumptions!$B$47*Assumptions!$B$46</f>
        <v>84</v>
      </c>
      <c r="C13" s="10" t="s">
        <v>59</v>
      </c>
      <c r="D13" s="11" t="s">
        <v>246</v>
      </c>
    </row>
    <row r="14" spans="1:4" x14ac:dyDescent="0.35">
      <c r="A14" s="11" t="s">
        <v>247</v>
      </c>
      <c r="B14" s="14">
        <f>B10+B13</f>
        <v>97.113021850585938</v>
      </c>
      <c r="C14" s="10" t="s">
        <v>59</v>
      </c>
      <c r="D14" s="11" t="s">
        <v>248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zoomScaleNormal="100" workbookViewId="0"/>
  </sheetViews>
  <sheetFormatPr defaultColWidth="8.6328125" defaultRowHeight="14.5" x14ac:dyDescent="0.35"/>
  <cols>
    <col min="1" max="1" width="50" customWidth="1"/>
    <col min="2" max="3" width="14" customWidth="1"/>
    <col min="4" max="5" width="18" customWidth="1"/>
    <col min="6" max="6" width="70" customWidth="1"/>
  </cols>
  <sheetData>
    <row r="1" spans="1:6" ht="21.75" customHeight="1" x14ac:dyDescent="0.35">
      <c r="A1" s="3" t="s">
        <v>249</v>
      </c>
      <c r="B1" s="3"/>
      <c r="C1" s="3"/>
      <c r="D1" s="3"/>
      <c r="E1" s="3"/>
      <c r="F1" s="3"/>
    </row>
    <row r="2" spans="1:6" x14ac:dyDescent="0.35">
      <c r="A2" s="7" t="s">
        <v>250</v>
      </c>
      <c r="B2" s="7" t="s">
        <v>251</v>
      </c>
      <c r="C2" s="7" t="s">
        <v>252</v>
      </c>
      <c r="D2" s="7" t="s">
        <v>253</v>
      </c>
      <c r="E2" s="7" t="s">
        <v>254</v>
      </c>
      <c r="F2" s="7" t="s">
        <v>255</v>
      </c>
    </row>
    <row r="3" spans="1:6" ht="15" customHeight="1" x14ac:dyDescent="0.35">
      <c r="A3" s="2" t="s">
        <v>256</v>
      </c>
      <c r="B3" s="2"/>
      <c r="C3" s="2"/>
      <c r="D3" s="2"/>
      <c r="E3" s="2"/>
      <c r="F3" s="2"/>
    </row>
    <row r="4" spans="1:6" x14ac:dyDescent="0.35">
      <c r="A4" s="11" t="s">
        <v>257</v>
      </c>
      <c r="B4" s="17">
        <v>30</v>
      </c>
      <c r="C4" s="23">
        <f>B4*2</f>
        <v>60</v>
      </c>
      <c r="D4" s="25">
        <f>Assumptions!$B$29</f>
        <v>48000</v>
      </c>
      <c r="E4" s="26">
        <f>C4*D4*(1-Assumptions!$B$39)</f>
        <v>2304000</v>
      </c>
      <c r="F4" s="11" t="s">
        <v>258</v>
      </c>
    </row>
    <row r="5" spans="1:6" x14ac:dyDescent="0.35">
      <c r="A5" s="11" t="s">
        <v>259</v>
      </c>
      <c r="B5" s="17">
        <v>50</v>
      </c>
      <c r="C5" s="23">
        <f>B5*2</f>
        <v>100</v>
      </c>
      <c r="D5" s="25">
        <f>Assumptions!$B$29</f>
        <v>48000</v>
      </c>
      <c r="E5" s="26">
        <f>C5*D5*(1-Assumptions!$B$39)</f>
        <v>3840000</v>
      </c>
      <c r="F5" s="11" t="s">
        <v>260</v>
      </c>
    </row>
    <row r="6" spans="1:6" x14ac:dyDescent="0.35">
      <c r="A6" s="11" t="s">
        <v>261</v>
      </c>
      <c r="B6" s="17">
        <v>20</v>
      </c>
      <c r="C6" s="23">
        <f>B6*2</f>
        <v>40</v>
      </c>
      <c r="D6" s="25">
        <f>Assumptions!$B$29</f>
        <v>48000</v>
      </c>
      <c r="E6" s="26">
        <f>C6*D6*(1-Assumptions!$B$39)</f>
        <v>1536000</v>
      </c>
      <c r="F6" s="11" t="s">
        <v>262</v>
      </c>
    </row>
    <row r="7" spans="1:6" x14ac:dyDescent="0.35">
      <c r="A7" s="11" t="s">
        <v>263</v>
      </c>
      <c r="B7" s="17">
        <v>12</v>
      </c>
      <c r="C7" s="23">
        <f>B7*2</f>
        <v>24</v>
      </c>
      <c r="D7" s="25">
        <f>Assumptions!$B$29</f>
        <v>48000</v>
      </c>
      <c r="E7" s="26">
        <f>C7*D7*(1-Assumptions!$B$39)</f>
        <v>921600</v>
      </c>
      <c r="F7" s="11" t="s">
        <v>264</v>
      </c>
    </row>
    <row r="8" spans="1:6" x14ac:dyDescent="0.35">
      <c r="A8" s="11" t="s">
        <v>265</v>
      </c>
      <c r="B8" s="17">
        <v>8</v>
      </c>
      <c r="C8" s="23">
        <f>B8*2</f>
        <v>16</v>
      </c>
      <c r="D8" s="25">
        <f>Assumptions!$B$29</f>
        <v>48000</v>
      </c>
      <c r="E8" s="26">
        <f>C8*D8*(1-Assumptions!$B$39)</f>
        <v>614400</v>
      </c>
      <c r="F8" s="11" t="s">
        <v>266</v>
      </c>
    </row>
    <row r="9" spans="1:6" ht="15" customHeight="1" x14ac:dyDescent="0.35">
      <c r="A9" s="2" t="s">
        <v>267</v>
      </c>
      <c r="B9" s="2"/>
      <c r="C9" s="2"/>
      <c r="D9" s="2"/>
      <c r="E9" s="2"/>
      <c r="F9" s="2"/>
    </row>
    <row r="10" spans="1:6" x14ac:dyDescent="0.35">
      <c r="A10" s="11" t="s">
        <v>268</v>
      </c>
      <c r="B10" s="17">
        <v>4</v>
      </c>
      <c r="C10" s="23">
        <f>B10*2</f>
        <v>8</v>
      </c>
      <c r="D10" s="25">
        <f>Assumptions!$B$30</f>
        <v>280000</v>
      </c>
      <c r="E10" s="26">
        <f>C10*D10*(1-Assumptions!$B$39)</f>
        <v>1792000</v>
      </c>
      <c r="F10" s="11" t="s">
        <v>123</v>
      </c>
    </row>
    <row r="11" spans="1:6" x14ac:dyDescent="0.35">
      <c r="A11" s="11" t="s">
        <v>269</v>
      </c>
      <c r="B11" s="17">
        <v>2</v>
      </c>
      <c r="C11" s="23">
        <f>B11*2</f>
        <v>4</v>
      </c>
      <c r="D11" s="25">
        <f>Assumptions!$B$30</f>
        <v>280000</v>
      </c>
      <c r="E11" s="26">
        <f>C11*D11*(1-Assumptions!$B$39)</f>
        <v>896000</v>
      </c>
      <c r="F11" s="11" t="s">
        <v>270</v>
      </c>
    </row>
    <row r="12" spans="1:6" x14ac:dyDescent="0.35">
      <c r="A12" s="11" t="s">
        <v>271</v>
      </c>
      <c r="B12" s="17">
        <v>2</v>
      </c>
      <c r="C12" s="23">
        <f>B12*2</f>
        <v>4</v>
      </c>
      <c r="D12" s="25">
        <f>Assumptions!$B$30</f>
        <v>280000</v>
      </c>
      <c r="E12" s="26">
        <f>C12*D12*(1-Assumptions!$B$39)</f>
        <v>896000</v>
      </c>
      <c r="F12" s="11" t="s">
        <v>272</v>
      </c>
    </row>
    <row r="13" spans="1:6" ht="15" customHeight="1" x14ac:dyDescent="0.35">
      <c r="A13" s="2" t="s">
        <v>273</v>
      </c>
      <c r="B13" s="2"/>
      <c r="C13" s="2"/>
      <c r="D13" s="2"/>
      <c r="E13" s="2"/>
      <c r="F13" s="2"/>
    </row>
    <row r="14" spans="1:6" x14ac:dyDescent="0.35">
      <c r="A14" s="11" t="s">
        <v>274</v>
      </c>
      <c r="B14" s="23">
        <f>ROUNDUP(('Workload Sizing'!$B$12*1024)/((24*22*0.9)),0)</f>
        <v>26</v>
      </c>
      <c r="C14" s="23">
        <f>B14*2</f>
        <v>52</v>
      </c>
      <c r="D14" s="25">
        <f>Assumptions!$B$31</f>
        <v>32000</v>
      </c>
      <c r="E14" s="26">
        <f>C14*D14*(1-Assumptions!$B$39)</f>
        <v>1331200</v>
      </c>
      <c r="F14" s="11" t="s">
        <v>275</v>
      </c>
    </row>
    <row r="15" spans="1:6" x14ac:dyDescent="0.35">
      <c r="A15" s="11" t="s">
        <v>276</v>
      </c>
      <c r="B15" s="23">
        <f>ROUNDUP(('Workload Sizing'!$B$11*1024)/((24*30*0.9)),0)</f>
        <v>3</v>
      </c>
      <c r="C15" s="23">
        <f>B15*2</f>
        <v>6</v>
      </c>
      <c r="D15" s="25">
        <f>Assumptions!$B$32</f>
        <v>65000</v>
      </c>
      <c r="E15" s="26">
        <f>C15*D15*(1-Assumptions!$B$39)</f>
        <v>312000</v>
      </c>
      <c r="F15" s="11" t="s">
        <v>277</v>
      </c>
    </row>
    <row r="16" spans="1:6" x14ac:dyDescent="0.35">
      <c r="A16" s="11" t="s">
        <v>278</v>
      </c>
      <c r="B16" s="23">
        <f>ROUNDUP(('Workload Sizing'!$B$13*1024)/((24*22*0.9)),0)</f>
        <v>182</v>
      </c>
      <c r="C16" s="23">
        <f>B16*2</f>
        <v>364</v>
      </c>
      <c r="D16" s="25">
        <f>Assumptions!$B$31</f>
        <v>32000</v>
      </c>
      <c r="E16" s="26">
        <f>C16*D16*(1-Assumptions!$B$39)</f>
        <v>9318400</v>
      </c>
      <c r="F16" s="11" t="s">
        <v>279</v>
      </c>
    </row>
    <row r="17" spans="1:6" ht="15" customHeight="1" x14ac:dyDescent="0.35">
      <c r="A17" s="2" t="s">
        <v>280</v>
      </c>
      <c r="B17" s="2"/>
      <c r="C17" s="2"/>
      <c r="D17" s="2"/>
      <c r="E17" s="2"/>
      <c r="F17" s="2"/>
    </row>
    <row r="18" spans="1:6" x14ac:dyDescent="0.35">
      <c r="A18" s="11" t="s">
        <v>281</v>
      </c>
      <c r="B18" s="17">
        <v>2</v>
      </c>
      <c r="C18" s="23">
        <f>B18*2</f>
        <v>4</v>
      </c>
      <c r="D18" s="25">
        <f>Assumptions!$B$33</f>
        <v>180000</v>
      </c>
      <c r="E18" s="26">
        <f>C18*D18*(1-Assumptions!$B$39)</f>
        <v>576000</v>
      </c>
      <c r="F18" s="11" t="s">
        <v>282</v>
      </c>
    </row>
    <row r="19" spans="1:6" x14ac:dyDescent="0.35">
      <c r="A19" s="11" t="s">
        <v>283</v>
      </c>
      <c r="B19" s="17">
        <v>12</v>
      </c>
      <c r="C19" s="23">
        <f>B19*2</f>
        <v>24</v>
      </c>
      <c r="D19" s="25">
        <f>Assumptions!$B$34</f>
        <v>35000</v>
      </c>
      <c r="E19" s="26">
        <f>C19*D19*(1-Assumptions!$B$39)</f>
        <v>672000</v>
      </c>
      <c r="F19" s="11" t="s">
        <v>284</v>
      </c>
    </row>
    <row r="20" spans="1:6" x14ac:dyDescent="0.35">
      <c r="A20" s="11" t="s">
        <v>285</v>
      </c>
      <c r="B20" s="17">
        <v>2</v>
      </c>
      <c r="C20" s="23">
        <f>B20*2</f>
        <v>4</v>
      </c>
      <c r="D20" s="25">
        <f>Assumptions!$B$35</f>
        <v>120000</v>
      </c>
      <c r="E20" s="26">
        <f>C20*D20*(1-Assumptions!$B$39)</f>
        <v>384000</v>
      </c>
      <c r="F20" s="11" t="s">
        <v>286</v>
      </c>
    </row>
    <row r="21" spans="1:6" x14ac:dyDescent="0.35">
      <c r="A21" s="11" t="s">
        <v>287</v>
      </c>
      <c r="B21" s="17">
        <v>2</v>
      </c>
      <c r="C21" s="23">
        <f>B21*2</f>
        <v>4</v>
      </c>
      <c r="D21" s="25">
        <f>Assumptions!$B$36</f>
        <v>80000</v>
      </c>
      <c r="E21" s="26">
        <f>C21*D21*(1-Assumptions!$B$39)</f>
        <v>256000</v>
      </c>
      <c r="F21" s="11" t="s">
        <v>288</v>
      </c>
    </row>
    <row r="22" spans="1:6" ht="15" customHeight="1" x14ac:dyDescent="0.35">
      <c r="A22" s="2" t="s">
        <v>289</v>
      </c>
      <c r="B22" s="2"/>
      <c r="C22" s="2"/>
      <c r="D22" s="2"/>
      <c r="E22" s="2"/>
      <c r="F22" s="2"/>
    </row>
    <row r="23" spans="1:6" x14ac:dyDescent="0.35">
      <c r="A23" s="11" t="s">
        <v>103</v>
      </c>
      <c r="B23" s="17">
        <v>2</v>
      </c>
      <c r="C23" s="23">
        <f>B23*2</f>
        <v>4</v>
      </c>
      <c r="D23" s="25">
        <f>Assumptions!$B$37</f>
        <v>80000</v>
      </c>
      <c r="E23" s="26">
        <f>C23*D23*(1-Assumptions!$B$39)</f>
        <v>256000</v>
      </c>
      <c r="F23" s="11" t="s">
        <v>290</v>
      </c>
    </row>
    <row r="24" spans="1:6" ht="15" customHeight="1" x14ac:dyDescent="0.35">
      <c r="A24" s="2" t="s">
        <v>291</v>
      </c>
      <c r="B24" s="2"/>
      <c r="C24" s="2"/>
      <c r="D24" s="2"/>
      <c r="E24" s="2"/>
      <c r="F24" s="2"/>
    </row>
    <row r="25" spans="1:6" x14ac:dyDescent="0.35">
      <c r="A25" s="11" t="s">
        <v>292</v>
      </c>
      <c r="B25" s="17">
        <v>30</v>
      </c>
      <c r="C25" s="23">
        <f>B25*2</f>
        <v>60</v>
      </c>
      <c r="D25" s="25">
        <f>Assumptions!$B$38</f>
        <v>4000</v>
      </c>
      <c r="E25" s="26">
        <f>C25*D25*(1-Assumptions!$B$39)</f>
        <v>192000</v>
      </c>
      <c r="F25" s="11" t="s">
        <v>293</v>
      </c>
    </row>
    <row r="26" spans="1:6" x14ac:dyDescent="0.35">
      <c r="A26" s="11" t="s">
        <v>294</v>
      </c>
      <c r="B26" s="17">
        <v>1</v>
      </c>
      <c r="C26" s="23">
        <f>B26*2</f>
        <v>2</v>
      </c>
      <c r="D26" s="19">
        <v>800000</v>
      </c>
      <c r="E26" s="26">
        <f>C26*D26</f>
        <v>1600000</v>
      </c>
      <c r="F26" s="11" t="s">
        <v>295</v>
      </c>
    </row>
    <row r="27" spans="1:6" x14ac:dyDescent="0.35">
      <c r="A27" s="11" t="s">
        <v>296</v>
      </c>
      <c r="B27" s="17">
        <v>1</v>
      </c>
      <c r="C27" s="23">
        <f>B27*2</f>
        <v>2</v>
      </c>
      <c r="D27" s="19">
        <v>400000</v>
      </c>
      <c r="E27" s="26">
        <f>C27*D27</f>
        <v>800000</v>
      </c>
      <c r="F27" s="11" t="s">
        <v>297</v>
      </c>
    </row>
    <row r="28" spans="1:6" x14ac:dyDescent="0.35">
      <c r="A28" s="11" t="s">
        <v>298</v>
      </c>
      <c r="B28" s="17">
        <v>1</v>
      </c>
      <c r="C28" s="23">
        <f>B28*2</f>
        <v>2</v>
      </c>
      <c r="D28" s="19">
        <v>300000</v>
      </c>
      <c r="E28" s="26">
        <f>C28*D28</f>
        <v>600000</v>
      </c>
      <c r="F28" s="11" t="s">
        <v>299</v>
      </c>
    </row>
    <row r="30" spans="1:6" x14ac:dyDescent="0.35">
      <c r="A30" s="27" t="s">
        <v>300</v>
      </c>
      <c r="B30" s="28"/>
      <c r="C30" s="28"/>
      <c r="D30" s="28"/>
      <c r="E30" s="29">
        <f>SUM(E3:E28)</f>
        <v>29097600</v>
      </c>
      <c r="F30" s="28"/>
    </row>
    <row r="32" spans="1:6" ht="15" customHeight="1" x14ac:dyDescent="0.35">
      <c r="A32" s="2" t="s">
        <v>301</v>
      </c>
      <c r="B32" s="2"/>
      <c r="C32" s="2"/>
      <c r="D32" s="2"/>
      <c r="E32" s="2"/>
      <c r="F32" s="2"/>
    </row>
    <row r="33" spans="1:6" x14ac:dyDescent="0.35">
      <c r="A33" s="11" t="s">
        <v>302</v>
      </c>
      <c r="E33" s="19">
        <v>500000</v>
      </c>
      <c r="F33" s="11" t="s">
        <v>303</v>
      </c>
    </row>
    <row r="34" spans="1:6" x14ac:dyDescent="0.35">
      <c r="A34" s="11" t="s">
        <v>304</v>
      </c>
      <c r="E34" s="19">
        <v>400000</v>
      </c>
      <c r="F34" s="11" t="s">
        <v>305</v>
      </c>
    </row>
    <row r="35" spans="1:6" x14ac:dyDescent="0.35">
      <c r="A35" s="11" t="s">
        <v>306</v>
      </c>
      <c r="E35" s="19">
        <v>300000</v>
      </c>
      <c r="F35" s="11" t="s">
        <v>307</v>
      </c>
    </row>
    <row r="36" spans="1:6" x14ac:dyDescent="0.35">
      <c r="A36" s="11" t="s">
        <v>308</v>
      </c>
      <c r="E36" s="19">
        <v>1000000</v>
      </c>
      <c r="F36" s="11" t="s">
        <v>309</v>
      </c>
    </row>
    <row r="38" spans="1:6" x14ac:dyDescent="0.35">
      <c r="A38" s="27" t="s">
        <v>310</v>
      </c>
      <c r="E38" s="29">
        <f>SUM(E33:E36)</f>
        <v>2200000</v>
      </c>
    </row>
    <row r="40" spans="1:6" ht="15" customHeight="1" x14ac:dyDescent="0.35">
      <c r="A40" s="2" t="s">
        <v>311</v>
      </c>
      <c r="B40" s="2"/>
      <c r="C40" s="2"/>
      <c r="D40" s="2"/>
      <c r="E40" s="2"/>
      <c r="F40" s="2"/>
    </row>
    <row r="41" spans="1:6" x14ac:dyDescent="0.35">
      <c r="A41" s="11" t="s">
        <v>312</v>
      </c>
      <c r="E41" s="19">
        <v>1500000</v>
      </c>
    </row>
    <row r="42" spans="1:6" x14ac:dyDescent="0.35">
      <c r="A42" s="11" t="s">
        <v>313</v>
      </c>
      <c r="E42" s="19">
        <v>2000000</v>
      </c>
    </row>
    <row r="43" spans="1:6" x14ac:dyDescent="0.35">
      <c r="A43" s="11" t="s">
        <v>314</v>
      </c>
      <c r="E43" s="19">
        <v>1000000</v>
      </c>
    </row>
    <row r="44" spans="1:6" x14ac:dyDescent="0.35">
      <c r="A44" s="11" t="s">
        <v>315</v>
      </c>
      <c r="E44" s="19">
        <v>400000</v>
      </c>
    </row>
    <row r="46" spans="1:6" x14ac:dyDescent="0.35">
      <c r="A46" s="27" t="s">
        <v>316</v>
      </c>
      <c r="E46" s="29">
        <f>SUM(E41:E44)</f>
        <v>4900000</v>
      </c>
    </row>
    <row r="48" spans="1:6" x14ac:dyDescent="0.35">
      <c r="A48" s="11" t="s">
        <v>317</v>
      </c>
      <c r="E48" s="26">
        <f>(E30+E38+E46)*0.12</f>
        <v>4343712</v>
      </c>
    </row>
    <row r="50" spans="1:6" x14ac:dyDescent="0.35">
      <c r="A50" s="30" t="s">
        <v>318</v>
      </c>
      <c r="E50" s="31">
        <f>E30+E38+E46+E48</f>
        <v>40541312</v>
      </c>
    </row>
    <row r="51" spans="1:6" x14ac:dyDescent="0.35">
      <c r="A51" s="32" t="s">
        <v>319</v>
      </c>
      <c r="E51" s="33">
        <f>E50/Assumptions!$B$26</f>
        <v>8108262.4000000004</v>
      </c>
    </row>
    <row r="52" spans="1:6" x14ac:dyDescent="0.35">
      <c r="A52" s="8" t="s">
        <v>320</v>
      </c>
      <c r="E52" s="34">
        <f>E30*Assumptions!$B$27</f>
        <v>4364640</v>
      </c>
    </row>
    <row r="54" spans="1:6" ht="15" customHeight="1" x14ac:dyDescent="0.35">
      <c r="A54" s="1" t="s">
        <v>321</v>
      </c>
      <c r="B54" s="1"/>
      <c r="C54" s="1"/>
      <c r="D54" s="1"/>
      <c r="E54" s="1"/>
      <c r="F54" s="1"/>
    </row>
    <row r="55" spans="1:6" x14ac:dyDescent="0.35">
      <c r="A55" s="11" t="s">
        <v>322</v>
      </c>
      <c r="B55" s="35">
        <f>240*0.65</f>
        <v>156</v>
      </c>
    </row>
    <row r="56" spans="1:6" x14ac:dyDescent="0.35">
      <c r="A56" s="11" t="s">
        <v>323</v>
      </c>
      <c r="B56" s="35">
        <f>16*6.5</f>
        <v>104</v>
      </c>
    </row>
    <row r="57" spans="1:6" x14ac:dyDescent="0.35">
      <c r="A57" s="11" t="s">
        <v>324</v>
      </c>
      <c r="B57" s="35">
        <f>(C14+C15+C16)*0.4</f>
        <v>168.8</v>
      </c>
    </row>
    <row r="58" spans="1:6" x14ac:dyDescent="0.35">
      <c r="A58" s="11" t="s">
        <v>325</v>
      </c>
      <c r="B58" s="35">
        <f>36*0.35</f>
        <v>12.6</v>
      </c>
    </row>
    <row r="59" spans="1:6" x14ac:dyDescent="0.35">
      <c r="A59" s="11" t="s">
        <v>326</v>
      </c>
      <c r="B59" s="35">
        <f>4*0.2</f>
        <v>0.8</v>
      </c>
    </row>
    <row r="60" spans="1:6" x14ac:dyDescent="0.35">
      <c r="A60" s="27" t="s">
        <v>327</v>
      </c>
      <c r="B60" s="36">
        <f>SUM(B55:B59)</f>
        <v>442.20000000000005</v>
      </c>
    </row>
  </sheetData>
  <mergeCells count="10">
    <mergeCell ref="A22:F22"/>
    <mergeCell ref="A24:F24"/>
    <mergeCell ref="A32:F32"/>
    <mergeCell ref="A40:F40"/>
    <mergeCell ref="A54:F54"/>
    <mergeCell ref="A1:F1"/>
    <mergeCell ref="A3:F3"/>
    <mergeCell ref="A9:F9"/>
    <mergeCell ref="A13:F13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zoomScaleNormal="100" workbookViewId="0"/>
  </sheetViews>
  <sheetFormatPr defaultColWidth="8.6328125" defaultRowHeight="14.5" x14ac:dyDescent="0.35"/>
  <cols>
    <col min="1" max="1" width="55" customWidth="1"/>
    <col min="2" max="2" width="18" customWidth="1"/>
    <col min="3" max="3" width="14" customWidth="1"/>
    <col min="4" max="4" width="18" customWidth="1"/>
    <col min="5" max="5" width="75" customWidth="1"/>
  </cols>
  <sheetData>
    <row r="1" spans="1:5" ht="21.75" customHeight="1" x14ac:dyDescent="0.35">
      <c r="A1" s="3" t="s">
        <v>328</v>
      </c>
      <c r="B1" s="3"/>
      <c r="C1" s="3"/>
      <c r="D1" s="3"/>
      <c r="E1" s="3"/>
    </row>
    <row r="2" spans="1:5" x14ac:dyDescent="0.35">
      <c r="A2" s="7" t="s">
        <v>329</v>
      </c>
      <c r="B2" s="7" t="s">
        <v>330</v>
      </c>
      <c r="C2" s="7" t="s">
        <v>22</v>
      </c>
      <c r="D2" s="7" t="s">
        <v>331</v>
      </c>
      <c r="E2" s="7" t="s">
        <v>255</v>
      </c>
    </row>
    <row r="3" spans="1:5" ht="15" customHeight="1" x14ac:dyDescent="0.35">
      <c r="A3" s="2" t="s">
        <v>332</v>
      </c>
      <c r="B3" s="2"/>
      <c r="C3" s="2"/>
      <c r="D3" s="2"/>
      <c r="E3" s="2"/>
    </row>
    <row r="4" spans="1:5" ht="25" x14ac:dyDescent="0.35">
      <c r="A4" s="11" t="s">
        <v>333</v>
      </c>
      <c r="B4" s="26">
        <f>'Hardware CapEx'!$B$60*Assumptions!$B$21*8760*Assumptions!$B$22</f>
        <v>697260.96000000008</v>
      </c>
      <c r="C4" s="10" t="s">
        <v>139</v>
      </c>
      <c r="D4" s="10" t="s">
        <v>334</v>
      </c>
      <c r="E4" s="11" t="s">
        <v>335</v>
      </c>
    </row>
    <row r="5" spans="1:5" ht="15" customHeight="1" x14ac:dyDescent="0.35">
      <c r="A5" s="2" t="s">
        <v>336</v>
      </c>
      <c r="B5" s="2"/>
      <c r="C5" s="2"/>
      <c r="D5" s="2"/>
      <c r="E5" s="2"/>
    </row>
    <row r="6" spans="1:5" x14ac:dyDescent="0.35">
      <c r="A6" s="11" t="s">
        <v>337</v>
      </c>
      <c r="B6" s="26">
        <f>60*Assumptions!$B$23*12</f>
        <v>1080000</v>
      </c>
      <c r="C6" s="10" t="s">
        <v>139</v>
      </c>
      <c r="D6" s="10" t="s">
        <v>338</v>
      </c>
      <c r="E6" s="11" t="s">
        <v>339</v>
      </c>
    </row>
    <row r="7" spans="1:5" x14ac:dyDescent="0.35">
      <c r="A7" s="11" t="s">
        <v>340</v>
      </c>
      <c r="B7" s="26">
        <f>Assumptions!$B$24*12</f>
        <v>600000</v>
      </c>
      <c r="C7" s="10" t="s">
        <v>139</v>
      </c>
      <c r="D7" s="10" t="s">
        <v>341</v>
      </c>
      <c r="E7" s="11" t="s">
        <v>342</v>
      </c>
    </row>
    <row r="8" spans="1:5" ht="15" customHeight="1" x14ac:dyDescent="0.35">
      <c r="A8" s="2" t="s">
        <v>343</v>
      </c>
      <c r="B8" s="2"/>
      <c r="C8" s="2"/>
      <c r="D8" s="2"/>
      <c r="E8" s="2"/>
    </row>
    <row r="9" spans="1:5" ht="25" x14ac:dyDescent="0.35">
      <c r="A9" s="11" t="s">
        <v>344</v>
      </c>
      <c r="B9" s="26">
        <f>Assumptions!$B$51*Assumptions!$B$50*12</f>
        <v>960000</v>
      </c>
      <c r="C9" s="10" t="s">
        <v>139</v>
      </c>
      <c r="D9" s="10" t="s">
        <v>345</v>
      </c>
      <c r="E9" s="11" t="s">
        <v>346</v>
      </c>
    </row>
    <row r="10" spans="1:5" x14ac:dyDescent="0.35">
      <c r="A10" s="11" t="s">
        <v>347</v>
      </c>
      <c r="B10" s="19">
        <v>60000</v>
      </c>
      <c r="C10" s="10" t="s">
        <v>139</v>
      </c>
      <c r="D10" s="10" t="s">
        <v>348</v>
      </c>
      <c r="E10" s="11" t="s">
        <v>349</v>
      </c>
    </row>
    <row r="11" spans="1:5" ht="25" x14ac:dyDescent="0.35">
      <c r="A11" s="11" t="s">
        <v>350</v>
      </c>
      <c r="B11" s="19">
        <v>24000</v>
      </c>
      <c r="C11" s="10" t="s">
        <v>139</v>
      </c>
      <c r="D11" s="10" t="s">
        <v>351</v>
      </c>
      <c r="E11" s="11"/>
    </row>
    <row r="12" spans="1:5" ht="15" customHeight="1" x14ac:dyDescent="0.35">
      <c r="A12" s="2" t="s">
        <v>352</v>
      </c>
      <c r="B12" s="2"/>
      <c r="C12" s="2"/>
      <c r="D12" s="2"/>
      <c r="E12" s="2"/>
    </row>
    <row r="13" spans="1:5" ht="25" x14ac:dyDescent="0.35">
      <c r="A13" s="11" t="s">
        <v>75</v>
      </c>
      <c r="B13" s="26">
        <f>'Hardware CapEx'!$E$30*Assumptions!$B$25</f>
        <v>2036832.0000000002</v>
      </c>
      <c r="C13" s="10" t="s">
        <v>139</v>
      </c>
      <c r="D13" s="10" t="s">
        <v>353</v>
      </c>
      <c r="E13" s="11" t="s">
        <v>354</v>
      </c>
    </row>
    <row r="14" spans="1:5" ht="15" customHeight="1" x14ac:dyDescent="0.35">
      <c r="A14" s="2" t="s">
        <v>355</v>
      </c>
      <c r="B14" s="2"/>
      <c r="C14" s="2"/>
      <c r="D14" s="2"/>
      <c r="E14" s="2"/>
    </row>
    <row r="15" spans="1:5" x14ac:dyDescent="0.35">
      <c r="A15" s="11" t="s">
        <v>155</v>
      </c>
      <c r="B15" s="26">
        <f>Assumptions!$B$61</f>
        <v>300000</v>
      </c>
      <c r="C15" s="10" t="s">
        <v>139</v>
      </c>
      <c r="D15" s="10" t="s">
        <v>356</v>
      </c>
      <c r="E15" s="11" t="s">
        <v>156</v>
      </c>
    </row>
    <row r="16" spans="1:5" x14ac:dyDescent="0.35">
      <c r="A16" s="11" t="s">
        <v>157</v>
      </c>
      <c r="B16" s="26">
        <f>Assumptions!$B$62</f>
        <v>250000</v>
      </c>
      <c r="C16" s="10" t="s">
        <v>139</v>
      </c>
      <c r="D16" s="10" t="s">
        <v>357</v>
      </c>
      <c r="E16" s="11" t="s">
        <v>290</v>
      </c>
    </row>
    <row r="17" spans="1:5" x14ac:dyDescent="0.35">
      <c r="A17" s="11" t="s">
        <v>358</v>
      </c>
      <c r="B17" s="26">
        <f>Assumptions!$B$63</f>
        <v>80000</v>
      </c>
      <c r="C17" s="10" t="s">
        <v>139</v>
      </c>
      <c r="D17" s="10" t="s">
        <v>359</v>
      </c>
      <c r="E17" s="11" t="s">
        <v>360</v>
      </c>
    </row>
    <row r="18" spans="1:5" x14ac:dyDescent="0.35">
      <c r="A18" s="11" t="s">
        <v>361</v>
      </c>
      <c r="B18" s="26">
        <f>Assumptions!$B$64</f>
        <v>200000</v>
      </c>
      <c r="C18" s="10" t="s">
        <v>139</v>
      </c>
      <c r="D18" s="10" t="s">
        <v>362</v>
      </c>
      <c r="E18" s="11" t="s">
        <v>363</v>
      </c>
    </row>
    <row r="19" spans="1:5" x14ac:dyDescent="0.35">
      <c r="A19" s="11" t="s">
        <v>364</v>
      </c>
      <c r="B19" s="26">
        <f>Assumptions!$B$65</f>
        <v>120000</v>
      </c>
      <c r="C19" s="10" t="s">
        <v>139</v>
      </c>
      <c r="D19" s="10" t="s">
        <v>365</v>
      </c>
      <c r="E19" s="11" t="s">
        <v>164</v>
      </c>
    </row>
    <row r="20" spans="1:5" x14ac:dyDescent="0.35">
      <c r="A20" s="11" t="s">
        <v>165</v>
      </c>
      <c r="B20" s="26">
        <f>Assumptions!$B$66</f>
        <v>150000</v>
      </c>
      <c r="C20" s="10" t="s">
        <v>139</v>
      </c>
      <c r="D20" s="10" t="s">
        <v>366</v>
      </c>
      <c r="E20" s="11" t="s">
        <v>367</v>
      </c>
    </row>
    <row r="21" spans="1:5" x14ac:dyDescent="0.35">
      <c r="A21" s="11" t="s">
        <v>368</v>
      </c>
      <c r="B21" s="26">
        <f>Assumptions!$B$67</f>
        <v>150000</v>
      </c>
      <c r="C21" s="10" t="s">
        <v>139</v>
      </c>
      <c r="D21" s="10" t="s">
        <v>369</v>
      </c>
      <c r="E21" s="11" t="s">
        <v>168</v>
      </c>
    </row>
    <row r="22" spans="1:5" x14ac:dyDescent="0.35">
      <c r="A22" s="11" t="s">
        <v>370</v>
      </c>
      <c r="B22" s="26">
        <f>Assumptions!$B$68</f>
        <v>80000</v>
      </c>
      <c r="C22" s="10" t="s">
        <v>139</v>
      </c>
      <c r="D22" s="10" t="s">
        <v>371</v>
      </c>
      <c r="E22" s="11" t="s">
        <v>170</v>
      </c>
    </row>
    <row r="23" spans="1:5" x14ac:dyDescent="0.35">
      <c r="A23" s="11" t="s">
        <v>372</v>
      </c>
      <c r="B23" s="26">
        <f>Assumptions!$B$69</f>
        <v>100000</v>
      </c>
      <c r="C23" s="10" t="s">
        <v>139</v>
      </c>
      <c r="D23" s="10" t="s">
        <v>373</v>
      </c>
      <c r="E23" s="11" t="s">
        <v>172</v>
      </c>
    </row>
    <row r="24" spans="1:5" x14ac:dyDescent="0.35">
      <c r="A24" s="11" t="s">
        <v>374</v>
      </c>
      <c r="B24" s="26">
        <f>Assumptions!$B$70</f>
        <v>250000</v>
      </c>
      <c r="C24" s="10" t="s">
        <v>139</v>
      </c>
      <c r="D24" s="10" t="s">
        <v>369</v>
      </c>
      <c r="E24" s="11" t="s">
        <v>375</v>
      </c>
    </row>
    <row r="25" spans="1:5" x14ac:dyDescent="0.35">
      <c r="A25" s="11" t="s">
        <v>376</v>
      </c>
      <c r="B25" s="26">
        <f>Assumptions!$B$71</f>
        <v>150000</v>
      </c>
      <c r="C25" s="10" t="s">
        <v>139</v>
      </c>
      <c r="D25" s="10" t="s">
        <v>377</v>
      </c>
      <c r="E25" s="11" t="s">
        <v>142</v>
      </c>
    </row>
    <row r="26" spans="1:5" x14ac:dyDescent="0.35">
      <c r="A26" s="11" t="s">
        <v>378</v>
      </c>
      <c r="B26" s="26">
        <f>Assumptions!$B$72</f>
        <v>220000</v>
      </c>
      <c r="C26" s="10" t="s">
        <v>139</v>
      </c>
      <c r="D26" s="10" t="s">
        <v>379</v>
      </c>
      <c r="E26" s="11" t="s">
        <v>380</v>
      </c>
    </row>
    <row r="27" spans="1:5" ht="15" customHeight="1" x14ac:dyDescent="0.35">
      <c r="A27" s="2" t="s">
        <v>381</v>
      </c>
      <c r="B27" s="2"/>
      <c r="C27" s="2"/>
      <c r="D27" s="2"/>
      <c r="E27" s="2"/>
    </row>
    <row r="28" spans="1:5" x14ac:dyDescent="0.35">
      <c r="A28" s="11" t="s">
        <v>382</v>
      </c>
      <c r="B28" s="26">
        <f>Assumptions!$B$56*Assumptions!$B$55</f>
        <v>7920000</v>
      </c>
      <c r="C28" s="10" t="s">
        <v>139</v>
      </c>
      <c r="D28" s="10" t="str">
        <f>Assumptions!$B$56&amp;" FTE"</f>
        <v>33 FTE</v>
      </c>
      <c r="E28" s="11" t="s">
        <v>383</v>
      </c>
    </row>
    <row r="29" spans="1:5" x14ac:dyDescent="0.35">
      <c r="A29" s="11" t="s">
        <v>384</v>
      </c>
      <c r="B29" s="26">
        <f>Assumptions!$B$57*Assumptions!$B$55*1.15</f>
        <v>1104000</v>
      </c>
      <c r="C29" s="10" t="s">
        <v>139</v>
      </c>
      <c r="D29" s="10" t="str">
        <f>Assumptions!$B$57&amp;" FTE"</f>
        <v>4 FTE</v>
      </c>
      <c r="E29" s="11" t="s">
        <v>385</v>
      </c>
    </row>
    <row r="30" spans="1:5" x14ac:dyDescent="0.35">
      <c r="A30" s="11" t="s">
        <v>386</v>
      </c>
      <c r="B30" s="26">
        <f>Assumptions!$B$58*Assumptions!$B$55</f>
        <v>480000</v>
      </c>
      <c r="C30" s="10" t="s">
        <v>139</v>
      </c>
      <c r="D30" s="10" t="str">
        <f>Assumptions!$B$58&amp;" FTE"</f>
        <v>2 FTE</v>
      </c>
      <c r="E30" s="11" t="s">
        <v>387</v>
      </c>
    </row>
    <row r="32" spans="1:5" x14ac:dyDescent="0.35">
      <c r="A32" s="30" t="s">
        <v>388</v>
      </c>
      <c r="B32" s="31">
        <f>SUM(B3:B30)</f>
        <v>17012092.960000001</v>
      </c>
    </row>
  </sheetData>
  <mergeCells count="7">
    <mergeCell ref="A14:E14"/>
    <mergeCell ref="A27:E27"/>
    <mergeCell ref="A1:E1"/>
    <mergeCell ref="A3:E3"/>
    <mergeCell ref="A5:E5"/>
    <mergeCell ref="A8:E8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zoomScaleNormal="100" workbookViewId="0"/>
  </sheetViews>
  <sheetFormatPr defaultColWidth="8.6328125" defaultRowHeight="14.5" x14ac:dyDescent="0.35"/>
  <cols>
    <col min="1" max="1" width="55" customWidth="1"/>
    <col min="2" max="2" width="18" customWidth="1"/>
    <col min="3" max="3" width="14" customWidth="1"/>
    <col min="4" max="4" width="75" customWidth="1"/>
  </cols>
  <sheetData>
    <row r="1" spans="1:4" ht="21.75" customHeight="1" x14ac:dyDescent="0.35">
      <c r="A1" s="3" t="s">
        <v>389</v>
      </c>
      <c r="B1" s="3"/>
      <c r="C1" s="3"/>
      <c r="D1" s="3"/>
    </row>
    <row r="2" spans="1:4" x14ac:dyDescent="0.35">
      <c r="A2" s="7" t="s">
        <v>329</v>
      </c>
      <c r="B2" s="7" t="s">
        <v>330</v>
      </c>
      <c r="C2" s="7" t="s">
        <v>22</v>
      </c>
      <c r="D2" s="7" t="s">
        <v>255</v>
      </c>
    </row>
    <row r="3" spans="1:4" ht="15" customHeight="1" x14ac:dyDescent="0.35">
      <c r="A3" s="2" t="s">
        <v>390</v>
      </c>
      <c r="B3" s="2"/>
      <c r="C3" s="2"/>
      <c r="D3" s="2"/>
    </row>
    <row r="4" spans="1:4" x14ac:dyDescent="0.35">
      <c r="A4" s="11" t="s">
        <v>391</v>
      </c>
      <c r="B4" s="26">
        <f>'Workload Sizing'!$B$9*1024*1024*Assumptions!$B$49</f>
        <v>8494002.685546875</v>
      </c>
      <c r="C4" s="10" t="s">
        <v>139</v>
      </c>
      <c r="D4" s="11" t="s">
        <v>392</v>
      </c>
    </row>
    <row r="5" spans="1:4" x14ac:dyDescent="0.35">
      <c r="A5" s="11" t="s">
        <v>393</v>
      </c>
      <c r="B5" s="26">
        <f>B4*0.05</f>
        <v>424700.13427734375</v>
      </c>
      <c r="C5" s="10" t="s">
        <v>139</v>
      </c>
      <c r="D5" s="11" t="s">
        <v>394</v>
      </c>
    </row>
    <row r="6" spans="1:4" x14ac:dyDescent="0.35">
      <c r="A6" s="11" t="s">
        <v>395</v>
      </c>
      <c r="B6" s="19">
        <v>240000</v>
      </c>
      <c r="C6" s="10" t="s">
        <v>139</v>
      </c>
      <c r="D6" s="11" t="s">
        <v>396</v>
      </c>
    </row>
    <row r="7" spans="1:4" x14ac:dyDescent="0.35">
      <c r="A7" s="11" t="s">
        <v>397</v>
      </c>
      <c r="B7" s="19">
        <v>180000</v>
      </c>
      <c r="C7" s="10" t="s">
        <v>139</v>
      </c>
      <c r="D7" s="11" t="s">
        <v>398</v>
      </c>
    </row>
    <row r="8" spans="1:4" ht="15" customHeight="1" x14ac:dyDescent="0.35">
      <c r="A8" s="2" t="s">
        <v>399</v>
      </c>
      <c r="B8" s="2"/>
      <c r="C8" s="2"/>
      <c r="D8" s="2"/>
    </row>
    <row r="9" spans="1:4" x14ac:dyDescent="0.35">
      <c r="A9" s="11" t="s">
        <v>400</v>
      </c>
      <c r="B9" s="26">
        <f>Assumptions!$B$52</f>
        <v>360000</v>
      </c>
      <c r="C9" s="10" t="s">
        <v>139</v>
      </c>
      <c r="D9" s="11" t="s">
        <v>401</v>
      </c>
    </row>
    <row r="10" spans="1:4" x14ac:dyDescent="0.35">
      <c r="A10" s="11" t="s">
        <v>402</v>
      </c>
      <c r="B10" s="26">
        <f>Assumptions!$B$53</f>
        <v>200000</v>
      </c>
      <c r="C10" s="10" t="s">
        <v>139</v>
      </c>
      <c r="D10" s="11" t="s">
        <v>403</v>
      </c>
    </row>
    <row r="11" spans="1:4" x14ac:dyDescent="0.35">
      <c r="A11" s="11" t="s">
        <v>404</v>
      </c>
      <c r="B11" s="19">
        <v>84000</v>
      </c>
      <c r="C11" s="10" t="s">
        <v>139</v>
      </c>
      <c r="D11" s="11" t="s">
        <v>405</v>
      </c>
    </row>
    <row r="12" spans="1:4" x14ac:dyDescent="0.35">
      <c r="A12" s="11" t="s">
        <v>406</v>
      </c>
      <c r="B12" s="19">
        <v>240000</v>
      </c>
      <c r="C12" s="10" t="s">
        <v>139</v>
      </c>
      <c r="D12" s="11" t="s">
        <v>407</v>
      </c>
    </row>
    <row r="14" spans="1:4" x14ac:dyDescent="0.35">
      <c r="A14" s="30" t="s">
        <v>408</v>
      </c>
      <c r="B14" s="31">
        <f>SUM(B3:B12)</f>
        <v>10222702.819824219</v>
      </c>
    </row>
  </sheetData>
  <mergeCells count="3">
    <mergeCell ref="A1:D1"/>
    <mergeCell ref="A3:D3"/>
    <mergeCell ref="A8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zoomScaleNormal="100" workbookViewId="0"/>
  </sheetViews>
  <sheetFormatPr defaultColWidth="8.6328125" defaultRowHeight="14.5" x14ac:dyDescent="0.35"/>
  <cols>
    <col min="1" max="1" width="55" customWidth="1"/>
    <col min="2" max="2" width="18" customWidth="1"/>
    <col min="3" max="3" width="14" customWidth="1"/>
    <col min="4" max="4" width="75" customWidth="1"/>
  </cols>
  <sheetData>
    <row r="1" spans="1:4" ht="21.75" customHeight="1" x14ac:dyDescent="0.35">
      <c r="A1" s="3" t="s">
        <v>409</v>
      </c>
      <c r="B1" s="3"/>
      <c r="C1" s="3"/>
      <c r="D1" s="3"/>
    </row>
    <row r="2" spans="1:4" x14ac:dyDescent="0.35">
      <c r="A2" s="7" t="s">
        <v>329</v>
      </c>
      <c r="B2" s="7" t="s">
        <v>330</v>
      </c>
      <c r="C2" s="7" t="s">
        <v>22</v>
      </c>
      <c r="D2" s="7" t="s">
        <v>255</v>
      </c>
    </row>
    <row r="3" spans="1:4" ht="15" customHeight="1" x14ac:dyDescent="0.35">
      <c r="A3" s="2" t="s">
        <v>410</v>
      </c>
      <c r="B3" s="2"/>
      <c r="C3" s="2"/>
      <c r="D3" s="2"/>
    </row>
    <row r="4" spans="1:4" x14ac:dyDescent="0.35">
      <c r="A4" s="11" t="s">
        <v>411</v>
      </c>
      <c r="B4" s="26">
        <f>Assumptions!$B$75*Assumptions!$B$74</f>
        <v>1500000</v>
      </c>
      <c r="C4" s="10" t="s">
        <v>139</v>
      </c>
      <c r="D4" s="11" t="s">
        <v>412</v>
      </c>
    </row>
    <row r="5" spans="1:4" ht="15" customHeight="1" x14ac:dyDescent="0.35">
      <c r="A5" s="2" t="s">
        <v>413</v>
      </c>
      <c r="B5" s="2"/>
      <c r="C5" s="2"/>
      <c r="D5" s="2"/>
    </row>
    <row r="6" spans="1:4" x14ac:dyDescent="0.35">
      <c r="A6" s="11" t="s">
        <v>185</v>
      </c>
      <c r="B6" s="26">
        <f>Assumptions!$B$76</f>
        <v>400000</v>
      </c>
      <c r="C6" s="10" t="s">
        <v>139</v>
      </c>
      <c r="D6" s="11" t="s">
        <v>414</v>
      </c>
    </row>
    <row r="7" spans="1:4" x14ac:dyDescent="0.35">
      <c r="A7" s="11" t="s">
        <v>187</v>
      </c>
      <c r="B7" s="26">
        <f>Assumptions!$B$77</f>
        <v>200000</v>
      </c>
      <c r="C7" s="10" t="s">
        <v>139</v>
      </c>
      <c r="D7" s="11" t="s">
        <v>415</v>
      </c>
    </row>
    <row r="8" spans="1:4" x14ac:dyDescent="0.35">
      <c r="A8" s="11" t="s">
        <v>189</v>
      </c>
      <c r="B8" s="26">
        <f>Assumptions!$B$78</f>
        <v>120000</v>
      </c>
      <c r="C8" s="10" t="s">
        <v>139</v>
      </c>
      <c r="D8" s="11" t="s">
        <v>416</v>
      </c>
    </row>
    <row r="9" spans="1:4" x14ac:dyDescent="0.35">
      <c r="A9" s="11" t="s">
        <v>193</v>
      </c>
      <c r="B9" s="26">
        <f>Assumptions!$B$80</f>
        <v>250000</v>
      </c>
      <c r="C9" s="10" t="s">
        <v>139</v>
      </c>
      <c r="D9" s="11" t="s">
        <v>417</v>
      </c>
    </row>
    <row r="10" spans="1:4" x14ac:dyDescent="0.35">
      <c r="A10" s="11" t="s">
        <v>418</v>
      </c>
      <c r="B10" s="26">
        <f>Assumptions!$B$81</f>
        <v>150000</v>
      </c>
      <c r="C10" s="10" t="s">
        <v>139</v>
      </c>
      <c r="D10" s="11" t="s">
        <v>419</v>
      </c>
    </row>
    <row r="11" spans="1:4" ht="15" customHeight="1" x14ac:dyDescent="0.35">
      <c r="A11" s="2" t="s">
        <v>420</v>
      </c>
      <c r="B11" s="2"/>
      <c r="C11" s="2"/>
      <c r="D11" s="2"/>
    </row>
    <row r="12" spans="1:4" x14ac:dyDescent="0.35">
      <c r="A12" s="11" t="s">
        <v>421</v>
      </c>
      <c r="B12" s="26">
        <f>Assumptions!$B$79</f>
        <v>400000</v>
      </c>
      <c r="C12" s="10" t="s">
        <v>139</v>
      </c>
      <c r="D12" s="11" t="s">
        <v>422</v>
      </c>
    </row>
    <row r="13" spans="1:4" ht="15" customHeight="1" x14ac:dyDescent="0.35">
      <c r="A13" s="2" t="s">
        <v>423</v>
      </c>
      <c r="B13" s="2"/>
      <c r="C13" s="2"/>
      <c r="D13" s="2"/>
    </row>
    <row r="14" spans="1:4" x14ac:dyDescent="0.35">
      <c r="A14" s="11" t="s">
        <v>424</v>
      </c>
      <c r="B14" s="19">
        <v>0</v>
      </c>
      <c r="C14" s="10" t="s">
        <v>139</v>
      </c>
      <c r="D14" s="11" t="s">
        <v>425</v>
      </c>
    </row>
    <row r="15" spans="1:4" x14ac:dyDescent="0.35">
      <c r="A15" s="11" t="s">
        <v>426</v>
      </c>
      <c r="B15" s="19">
        <v>0</v>
      </c>
      <c r="C15" s="10" t="s">
        <v>139</v>
      </c>
      <c r="D15" s="11" t="s">
        <v>427</v>
      </c>
    </row>
    <row r="16" spans="1:4" x14ac:dyDescent="0.35">
      <c r="A16" s="11" t="s">
        <v>428</v>
      </c>
      <c r="B16" s="19">
        <v>600000</v>
      </c>
      <c r="C16" s="10" t="s">
        <v>139</v>
      </c>
      <c r="D16" s="11" t="s">
        <v>429</v>
      </c>
    </row>
    <row r="18" spans="1:2" x14ac:dyDescent="0.35">
      <c r="A18" s="30" t="s">
        <v>430</v>
      </c>
      <c r="B18" s="31">
        <f>SUM(B3:B16)</f>
        <v>3620000</v>
      </c>
    </row>
  </sheetData>
  <mergeCells count="5">
    <mergeCell ref="A1:D1"/>
    <mergeCell ref="A3:D3"/>
    <mergeCell ref="A5:D5"/>
    <mergeCell ref="A11:D11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zoomScaleNormal="100" workbookViewId="0"/>
  </sheetViews>
  <sheetFormatPr defaultColWidth="8.6328125" defaultRowHeight="14.5" x14ac:dyDescent="0.35"/>
  <cols>
    <col min="1" max="1" width="55" customWidth="1"/>
    <col min="2" max="4" width="22" customWidth="1"/>
    <col min="5" max="5" width="75" customWidth="1"/>
  </cols>
  <sheetData>
    <row r="1" spans="1:5" ht="21.75" customHeight="1" x14ac:dyDescent="0.35">
      <c r="A1" s="3" t="s">
        <v>431</v>
      </c>
      <c r="B1" s="3"/>
      <c r="C1" s="3"/>
      <c r="D1" s="3"/>
      <c r="E1" s="3"/>
    </row>
    <row r="2" spans="1:5" x14ac:dyDescent="0.35">
      <c r="A2" s="7" t="s">
        <v>432</v>
      </c>
      <c r="B2" s="7" t="s">
        <v>330</v>
      </c>
      <c r="C2" s="7" t="s">
        <v>433</v>
      </c>
      <c r="D2" s="7" t="s">
        <v>434</v>
      </c>
      <c r="E2" s="7" t="s">
        <v>255</v>
      </c>
    </row>
    <row r="3" spans="1:5" ht="15" customHeight="1" x14ac:dyDescent="0.35">
      <c r="A3" s="2" t="s">
        <v>435</v>
      </c>
      <c r="B3" s="2"/>
      <c r="C3" s="2"/>
      <c r="D3" s="2"/>
      <c r="E3" s="2"/>
    </row>
    <row r="4" spans="1:5" x14ac:dyDescent="0.35">
      <c r="A4" s="11" t="s">
        <v>436</v>
      </c>
      <c r="B4" s="25">
        <f>'Hardware CapEx'!$E$50</f>
        <v>40541312</v>
      </c>
      <c r="E4" s="11" t="s">
        <v>437</v>
      </c>
    </row>
    <row r="5" spans="1:5" x14ac:dyDescent="0.35">
      <c r="A5" s="11" t="s">
        <v>438</v>
      </c>
      <c r="B5" s="25">
        <f>'On-Prem OpEx'!$B$32</f>
        <v>17012092.960000001</v>
      </c>
      <c r="E5" s="11" t="s">
        <v>439</v>
      </c>
    </row>
    <row r="6" spans="1:5" x14ac:dyDescent="0.35">
      <c r="A6" s="11" t="s">
        <v>440</v>
      </c>
      <c r="B6" s="25">
        <f>'CDN &amp; Net Services'!$B$14</f>
        <v>10222702.819824219</v>
      </c>
    </row>
    <row r="7" spans="1:5" x14ac:dyDescent="0.35">
      <c r="A7" s="11" t="s">
        <v>441</v>
      </c>
      <c r="B7" s="25">
        <f>'ADAM Governance OpEx'!$B$18</f>
        <v>3620000</v>
      </c>
    </row>
    <row r="8" spans="1:5" x14ac:dyDescent="0.35">
      <c r="A8" s="27" t="s">
        <v>442</v>
      </c>
      <c r="B8" s="29">
        <f>SUM(B4:B7)</f>
        <v>71396107.779824227</v>
      </c>
      <c r="D8" s="37">
        <f>B8/Assumptions!$B$4/12</f>
        <v>5.949675648318685</v>
      </c>
    </row>
    <row r="10" spans="1:5" ht="15" customHeight="1" x14ac:dyDescent="0.35">
      <c r="A10" s="2" t="s">
        <v>443</v>
      </c>
      <c r="B10" s="2"/>
      <c r="C10" s="2"/>
      <c r="D10" s="2"/>
      <c r="E10" s="2"/>
    </row>
    <row r="11" spans="1:5" x14ac:dyDescent="0.35">
      <c r="A11" s="11" t="s">
        <v>444</v>
      </c>
      <c r="B11" s="25">
        <f>'Hardware CapEx'!$E$51</f>
        <v>8108262.4000000004</v>
      </c>
      <c r="C11" s="38">
        <f>B11/B15</f>
        <v>0.20810128308148579</v>
      </c>
      <c r="D11" s="39">
        <f>B11/Assumptions!$B$4/12</f>
        <v>0.67568853333333345</v>
      </c>
      <c r="E11" s="11" t="s">
        <v>445</v>
      </c>
    </row>
    <row r="12" spans="1:5" x14ac:dyDescent="0.35">
      <c r="A12" s="11" t="s">
        <v>446</v>
      </c>
      <c r="B12" s="25">
        <f>'On-Prem OpEx'!$B$32</f>
        <v>17012092.960000001</v>
      </c>
      <c r="C12" s="38">
        <f>B12/B15</f>
        <v>0.4366210907132842</v>
      </c>
      <c r="D12" s="39">
        <f>B12/Assumptions!$B$4/12</f>
        <v>1.4176744133333334</v>
      </c>
    </row>
    <row r="13" spans="1:5" x14ac:dyDescent="0.35">
      <c r="A13" s="11" t="s">
        <v>447</v>
      </c>
      <c r="B13" s="25">
        <f>'CDN &amp; Net Services'!$B$14</f>
        <v>10222702.819824219</v>
      </c>
      <c r="C13" s="38">
        <f>B13/B15</f>
        <v>0.26236910800594498</v>
      </c>
      <c r="D13" s="39">
        <f>B13/Assumptions!$B$4/12</f>
        <v>0.85189190165201822</v>
      </c>
    </row>
    <row r="14" spans="1:5" x14ac:dyDescent="0.35">
      <c r="A14" s="11" t="s">
        <v>448</v>
      </c>
      <c r="B14" s="25">
        <f>'ADAM Governance OpEx'!$B$18</f>
        <v>3620000</v>
      </c>
      <c r="C14" s="38">
        <f>B14/B15</f>
        <v>9.2908518199285028E-2</v>
      </c>
      <c r="D14" s="39">
        <f>B14/Assumptions!$B$4/12</f>
        <v>0.30166666666666669</v>
      </c>
    </row>
    <row r="15" spans="1:5" x14ac:dyDescent="0.35">
      <c r="A15" s="30" t="s">
        <v>449</v>
      </c>
      <c r="B15" s="31">
        <f>SUM(B11:B14)</f>
        <v>38963058.179824218</v>
      </c>
      <c r="C15" s="40">
        <f>1</f>
        <v>1</v>
      </c>
      <c r="D15" s="41">
        <f>B15/Assumptions!$B$4/12</f>
        <v>3.2469215149853512</v>
      </c>
    </row>
  </sheetData>
  <mergeCells count="3">
    <mergeCell ref="A1:E1"/>
    <mergeCell ref="A3:E3"/>
    <mergeCell ref="A10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zoomScaleNormal="100" workbookViewId="0"/>
  </sheetViews>
  <sheetFormatPr defaultColWidth="8.6328125" defaultRowHeight="14.5" x14ac:dyDescent="0.35"/>
  <cols>
    <col min="1" max="1" width="42" customWidth="1"/>
    <col min="2" max="6" width="14" customWidth="1"/>
    <col min="7" max="7" width="70" customWidth="1"/>
  </cols>
  <sheetData>
    <row r="1" spans="1:7" ht="21.75" customHeight="1" x14ac:dyDescent="0.35">
      <c r="A1" s="3" t="s">
        <v>450</v>
      </c>
      <c r="B1" s="3"/>
      <c r="C1" s="3"/>
      <c r="D1" s="3"/>
      <c r="E1" s="3"/>
      <c r="F1" s="3"/>
      <c r="G1" s="3"/>
    </row>
    <row r="2" spans="1:7" x14ac:dyDescent="0.35">
      <c r="A2" s="7" t="s">
        <v>451</v>
      </c>
      <c r="B2" s="7" t="s">
        <v>452</v>
      </c>
      <c r="C2" s="7" t="s">
        <v>453</v>
      </c>
      <c r="D2" s="7" t="s">
        <v>454</v>
      </c>
      <c r="E2" s="7" t="s">
        <v>330</v>
      </c>
      <c r="F2" s="7" t="s">
        <v>255</v>
      </c>
    </row>
    <row r="3" spans="1:7" x14ac:dyDescent="0.35">
      <c r="A3" s="11" t="s">
        <v>455</v>
      </c>
      <c r="B3" s="42">
        <f>Assumptions!$B$83</f>
        <v>0.2</v>
      </c>
      <c r="C3" s="21">
        <v>5.99</v>
      </c>
      <c r="D3" s="23">
        <f>Assumptions!$B$4*Assumptions!$B$83</f>
        <v>200000</v>
      </c>
      <c r="E3" s="26">
        <f>C3*D3*12</f>
        <v>14376000</v>
      </c>
      <c r="F3" s="11"/>
      <c r="G3" s="11" t="s">
        <v>456</v>
      </c>
    </row>
    <row r="4" spans="1:7" x14ac:dyDescent="0.35">
      <c r="A4" s="11" t="s">
        <v>457</v>
      </c>
      <c r="B4" s="42">
        <f>Assumptions!$B$84</f>
        <v>0.1</v>
      </c>
      <c r="C4" s="21">
        <v>9.99</v>
      </c>
      <c r="D4" s="23">
        <f>Assumptions!$B$4*Assumptions!$B$84</f>
        <v>100000</v>
      </c>
      <c r="E4" s="26">
        <f>C4*D4*12</f>
        <v>11988000</v>
      </c>
      <c r="F4" s="11"/>
      <c r="G4" s="11" t="s">
        <v>458</v>
      </c>
    </row>
    <row r="5" spans="1:7" x14ac:dyDescent="0.35">
      <c r="A5" s="11" t="s">
        <v>459</v>
      </c>
      <c r="B5" s="42">
        <f>Assumptions!$B$85</f>
        <v>0.4</v>
      </c>
      <c r="C5" s="21">
        <v>14.99</v>
      </c>
      <c r="D5" s="23">
        <f>Assumptions!$B$4*Assumptions!$B$85</f>
        <v>400000</v>
      </c>
      <c r="E5" s="26">
        <f>C5*D5*12</f>
        <v>71952000</v>
      </c>
      <c r="F5" s="11"/>
      <c r="G5" s="11" t="s">
        <v>460</v>
      </c>
    </row>
    <row r="6" spans="1:7" x14ac:dyDescent="0.35">
      <c r="A6" s="11" t="s">
        <v>461</v>
      </c>
      <c r="B6" s="42">
        <f>Assumptions!$B$86</f>
        <v>0.25</v>
      </c>
      <c r="C6" s="21">
        <v>19.989999999999998</v>
      </c>
      <c r="D6" s="23">
        <f>Assumptions!$B$4*Assumptions!$B$86</f>
        <v>250000</v>
      </c>
      <c r="E6" s="26">
        <f>C6*D6*12</f>
        <v>59970000</v>
      </c>
      <c r="F6" s="11"/>
      <c r="G6" s="11" t="s">
        <v>462</v>
      </c>
    </row>
    <row r="7" spans="1:7" x14ac:dyDescent="0.35">
      <c r="A7" s="11" t="s">
        <v>463</v>
      </c>
      <c r="B7" s="42">
        <f>Assumptions!$B$87</f>
        <v>0.05</v>
      </c>
      <c r="C7" s="21">
        <v>27.99</v>
      </c>
      <c r="D7" s="23">
        <f>Assumptions!$B$4*Assumptions!$B$87</f>
        <v>50000</v>
      </c>
      <c r="E7" s="26">
        <f>C7*D7*12</f>
        <v>16794000</v>
      </c>
      <c r="F7" s="11"/>
      <c r="G7" s="11" t="s">
        <v>464</v>
      </c>
    </row>
    <row r="9" spans="1:7" ht="26" x14ac:dyDescent="0.35">
      <c r="A9" s="27" t="s">
        <v>465</v>
      </c>
      <c r="E9" s="29">
        <f>SUM(E3:E7)</f>
        <v>175080000</v>
      </c>
    </row>
    <row r="10" spans="1:7" x14ac:dyDescent="0.35">
      <c r="A10" s="32" t="s">
        <v>466</v>
      </c>
      <c r="C10" s="43">
        <f>E9/Assumptions!$B$4/12</f>
        <v>14.590000000000002</v>
      </c>
    </row>
    <row r="12" spans="1:7" ht="15" customHeight="1" x14ac:dyDescent="0.35">
      <c r="A12" s="1" t="s">
        <v>467</v>
      </c>
      <c r="B12" s="1"/>
      <c r="C12" s="1"/>
      <c r="D12" s="1"/>
      <c r="E12" s="1"/>
      <c r="F12" s="1"/>
      <c r="G12" s="1"/>
    </row>
    <row r="13" spans="1:7" ht="25" x14ac:dyDescent="0.35">
      <c r="A13" s="11" t="s">
        <v>468</v>
      </c>
      <c r="C13" s="21">
        <v>8.5</v>
      </c>
      <c r="D13" s="23">
        <f>Assumptions!$B$4*Assumptions!$B$83</f>
        <v>200000</v>
      </c>
      <c r="E13" s="26">
        <f>C13*D13*12</f>
        <v>20400000</v>
      </c>
      <c r="G13" s="11" t="s">
        <v>469</v>
      </c>
    </row>
    <row r="15" spans="1:7" x14ac:dyDescent="0.35">
      <c r="A15" s="30" t="s">
        <v>470</v>
      </c>
      <c r="E15" s="31">
        <f>E9+E13</f>
        <v>195480000</v>
      </c>
    </row>
  </sheetData>
  <mergeCells count="2">
    <mergeCell ref="A1:G1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6"/>
  <sheetViews>
    <sheetView zoomScaleNormal="100" workbookViewId="0"/>
  </sheetViews>
  <sheetFormatPr defaultColWidth="8.6328125" defaultRowHeight="14.5" x14ac:dyDescent="0.35"/>
  <cols>
    <col min="1" max="1" width="42" customWidth="1"/>
    <col min="2" max="6" width="18" customWidth="1"/>
    <col min="7" max="7" width="70" customWidth="1"/>
  </cols>
  <sheetData>
    <row r="1" spans="1:7" ht="21.75" customHeight="1" x14ac:dyDescent="0.35">
      <c r="A1" s="3" t="s">
        <v>471</v>
      </c>
      <c r="B1" s="3"/>
      <c r="C1" s="3"/>
      <c r="D1" s="3"/>
      <c r="E1" s="3"/>
      <c r="F1" s="3"/>
      <c r="G1" s="3"/>
    </row>
    <row r="2" spans="1:7" x14ac:dyDescent="0.35">
      <c r="A2" s="7" t="s">
        <v>472</v>
      </c>
      <c r="B2" s="7" t="s">
        <v>473</v>
      </c>
      <c r="C2" s="7" t="s">
        <v>474</v>
      </c>
      <c r="D2" s="7" t="s">
        <v>475</v>
      </c>
      <c r="E2" s="7" t="s">
        <v>476</v>
      </c>
      <c r="F2" s="7" t="s">
        <v>477</v>
      </c>
      <c r="G2" s="7" t="s">
        <v>255</v>
      </c>
    </row>
    <row r="3" spans="1:7" x14ac:dyDescent="0.35">
      <c r="A3" s="11" t="s">
        <v>478</v>
      </c>
      <c r="B3" s="44">
        <f>Assumptions!$B$4</f>
        <v>1000000</v>
      </c>
      <c r="C3" s="23">
        <f>B3*(1+Assumptions!$B$10)</f>
        <v>1120000</v>
      </c>
      <c r="D3" s="23">
        <f>C3*(1+Assumptions!$B$10)</f>
        <v>1254400.0000000002</v>
      </c>
      <c r="E3" s="23">
        <f>D3*(1+Assumptions!$B$10)</f>
        <v>1404928.0000000005</v>
      </c>
      <c r="F3" s="23">
        <f>E3*(1+Assumptions!$B$10)</f>
        <v>1573519.3600000006</v>
      </c>
      <c r="G3" s="11" t="s">
        <v>479</v>
      </c>
    </row>
    <row r="4" spans="1:7" x14ac:dyDescent="0.35">
      <c r="A4" s="11" t="s">
        <v>480</v>
      </c>
      <c r="B4" s="45">
        <f>'Revenue Model'!$C$10</f>
        <v>14.590000000000002</v>
      </c>
      <c r="C4" s="45">
        <f>'Revenue Model'!$C$10</f>
        <v>14.590000000000002</v>
      </c>
      <c r="D4" s="45">
        <f>'Revenue Model'!$C$10</f>
        <v>14.590000000000002</v>
      </c>
      <c r="E4" s="45">
        <f>'Revenue Model'!$C$10</f>
        <v>14.590000000000002</v>
      </c>
      <c r="F4" s="45">
        <f>'Revenue Model'!$C$10</f>
        <v>14.590000000000002</v>
      </c>
      <c r="G4" s="11" t="s">
        <v>481</v>
      </c>
    </row>
    <row r="5" spans="1:7" x14ac:dyDescent="0.35">
      <c r="A5" s="46" t="s">
        <v>482</v>
      </c>
      <c r="B5" s="47">
        <f>B3*B4*12</f>
        <v>175080000.00000003</v>
      </c>
      <c r="C5" s="47">
        <f>C3*C4*12</f>
        <v>196089600.00000003</v>
      </c>
      <c r="D5" s="47">
        <f>D3*D4*12</f>
        <v>219620352.00000006</v>
      </c>
      <c r="E5" s="47">
        <f>E3*E4*12</f>
        <v>245974794.24000013</v>
      </c>
      <c r="F5" s="47">
        <f>F3*F4*12</f>
        <v>275491769.54880011</v>
      </c>
    </row>
    <row r="6" spans="1:7" x14ac:dyDescent="0.35">
      <c r="A6" s="11" t="s">
        <v>483</v>
      </c>
      <c r="B6" s="26">
        <f>B3*Assumptions!$B$83*8.5*12</f>
        <v>20400000</v>
      </c>
      <c r="C6" s="26">
        <f>C3*Assumptions!$B$83*8.5*12</f>
        <v>22848000</v>
      </c>
      <c r="D6" s="26">
        <f>D3*Assumptions!$B$83*8.5*12</f>
        <v>25589760.000000007</v>
      </c>
      <c r="E6" s="26">
        <f>E3*Assumptions!$B$83*8.5*12</f>
        <v>28660531.200000007</v>
      </c>
      <c r="F6" s="26">
        <f>F3*Assumptions!$B$83*8.5*12</f>
        <v>32099794.944000017</v>
      </c>
    </row>
    <row r="7" spans="1:7" x14ac:dyDescent="0.35">
      <c r="A7" s="30" t="s">
        <v>484</v>
      </c>
      <c r="B7" s="31">
        <f>B5+B6</f>
        <v>195480000.00000003</v>
      </c>
      <c r="C7" s="31">
        <f>C5+C6</f>
        <v>218937600.00000003</v>
      </c>
      <c r="D7" s="31">
        <f>D5+D6</f>
        <v>245210112.00000006</v>
      </c>
      <c r="E7" s="31">
        <f>E5+E6</f>
        <v>274635325.44000012</v>
      </c>
      <c r="F7" s="31">
        <f>F5+F6</f>
        <v>307591564.49280012</v>
      </c>
    </row>
    <row r="9" spans="1:7" ht="15" customHeight="1" x14ac:dyDescent="0.35">
      <c r="A9" s="1" t="s">
        <v>485</v>
      </c>
      <c r="B9" s="1"/>
      <c r="C9" s="1"/>
      <c r="D9" s="1"/>
      <c r="E9" s="1"/>
      <c r="F9" s="1"/>
      <c r="G9" s="1"/>
    </row>
    <row r="10" spans="1:7" x14ac:dyDescent="0.35">
      <c r="A10" s="11" t="s">
        <v>486</v>
      </c>
      <c r="B10" s="26">
        <f>B7*Assumptions!$B$91</f>
        <v>82101600.000000015</v>
      </c>
      <c r="C10" s="26">
        <f>C7*Assumptions!$B$91</f>
        <v>91953792.000000015</v>
      </c>
      <c r="D10" s="26">
        <f>D7*Assumptions!$B$91</f>
        <v>102988247.04000002</v>
      </c>
      <c r="E10" s="26">
        <f>E7*Assumptions!$B$91</f>
        <v>115346836.68480004</v>
      </c>
      <c r="F10" s="26">
        <f>F7*Assumptions!$B$91</f>
        <v>129188457.08697605</v>
      </c>
    </row>
    <row r="11" spans="1:7" x14ac:dyDescent="0.35">
      <c r="A11" s="11" t="s">
        <v>487</v>
      </c>
      <c r="B11" s="26">
        <f>B10/Assumptions!$B$90</f>
        <v>20525400.000000004</v>
      </c>
      <c r="C11" s="26">
        <f>(SUM(B10:C10))/Assumptions!$B$90</f>
        <v>43513848.000000007</v>
      </c>
      <c r="D11" s="26">
        <f>(SUM(B10:D10))/Assumptions!$B$90</f>
        <v>69260909.76000002</v>
      </c>
      <c r="E11" s="26">
        <f>(SUM(B10:E10))/Assumptions!$B$90</f>
        <v>98097618.931200027</v>
      </c>
      <c r="F11" s="26">
        <f>(SUM(C10:F10))/Assumptions!$B$90</f>
        <v>109869333.20294403</v>
      </c>
      <c r="G11" s="11" t="s">
        <v>488</v>
      </c>
    </row>
    <row r="12" spans="1:7" x14ac:dyDescent="0.35">
      <c r="A12" s="11" t="s">
        <v>489</v>
      </c>
      <c r="B12" s="25">
        <f>'Hardware CapEx'!$E$51</f>
        <v>8108262.4000000004</v>
      </c>
      <c r="C12" s="25">
        <f>'Hardware CapEx'!$E$51</f>
        <v>8108262.4000000004</v>
      </c>
      <c r="D12" s="25">
        <f>'Hardware CapEx'!$E$51</f>
        <v>8108262.4000000004</v>
      </c>
      <c r="E12" s="25">
        <f>'Hardware CapEx'!$E$51</f>
        <v>8108262.4000000004</v>
      </c>
      <c r="F12" s="25">
        <f>'Hardware CapEx'!$E$51</f>
        <v>8108262.4000000004</v>
      </c>
      <c r="G12" s="11" t="s">
        <v>490</v>
      </c>
    </row>
    <row r="13" spans="1:7" x14ac:dyDescent="0.35">
      <c r="A13" s="11" t="s">
        <v>491</v>
      </c>
      <c r="B13" s="26">
        <v>0</v>
      </c>
      <c r="C13" s="26">
        <v>0</v>
      </c>
      <c r="D13" s="26">
        <v>0</v>
      </c>
      <c r="E13" s="25">
        <f>'Hardware CapEx'!$E$52</f>
        <v>4364640</v>
      </c>
      <c r="F13" s="26">
        <f>E13+'Hardware CapEx'!$E$52</f>
        <v>8729280</v>
      </c>
    </row>
    <row r="14" spans="1:7" x14ac:dyDescent="0.35">
      <c r="A14" s="11" t="s">
        <v>492</v>
      </c>
      <c r="B14" s="25">
        <f>'On-Prem OpEx'!$B$32</f>
        <v>17012092.960000001</v>
      </c>
      <c r="C14" s="25">
        <f>'On-Prem OpEx'!$B$32</f>
        <v>17012092.960000001</v>
      </c>
      <c r="D14" s="25">
        <f>'On-Prem OpEx'!$B$32</f>
        <v>17012092.960000001</v>
      </c>
      <c r="E14" s="25">
        <f>'On-Prem OpEx'!$B$32</f>
        <v>17012092.960000001</v>
      </c>
      <c r="F14" s="25">
        <f>'On-Prem OpEx'!$B$32</f>
        <v>17012092.960000001</v>
      </c>
    </row>
    <row r="15" spans="1:7" x14ac:dyDescent="0.35">
      <c r="A15" s="11" t="s">
        <v>493</v>
      </c>
      <c r="B15" s="25">
        <f>'CDN &amp; Net Services'!$B$14</f>
        <v>10222702.819824219</v>
      </c>
      <c r="C15" s="26">
        <f>B15*(C3/B3)</f>
        <v>11449427.158203127</v>
      </c>
      <c r="D15" s="26">
        <f>B15*(D3/B3)</f>
        <v>12823358.417187503</v>
      </c>
      <c r="E15" s="26">
        <f>B15*(E3/B3)</f>
        <v>14362161.427250003</v>
      </c>
      <c r="F15" s="26">
        <f>B15*(F3/B3)</f>
        <v>16085620.798520006</v>
      </c>
      <c r="G15" s="11" t="s">
        <v>494</v>
      </c>
    </row>
    <row r="16" spans="1:7" x14ac:dyDescent="0.35">
      <c r="A16" s="11" t="s">
        <v>495</v>
      </c>
      <c r="B16" s="25">
        <f>'ADAM Governance OpEx'!$B$18</f>
        <v>3620000</v>
      </c>
      <c r="C16" s="25">
        <f>'ADAM Governance OpEx'!$B$18</f>
        <v>3620000</v>
      </c>
      <c r="D16" s="25">
        <f>'ADAM Governance OpEx'!$B$18</f>
        <v>3620000</v>
      </c>
      <c r="E16" s="25">
        <f>'ADAM Governance OpEx'!$B$18</f>
        <v>3620000</v>
      </c>
      <c r="F16" s="25">
        <f>'ADAM Governance OpEx'!$B$18</f>
        <v>3620000</v>
      </c>
    </row>
    <row r="17" spans="1:6" x14ac:dyDescent="0.35">
      <c r="A17" s="11" t="s">
        <v>496</v>
      </c>
      <c r="B17" s="26">
        <f>B7*Assumptions!$B$92</f>
        <v>19548000.000000004</v>
      </c>
      <c r="C17" s="26">
        <f>C7*Assumptions!$B$92</f>
        <v>21893760.000000004</v>
      </c>
      <c r="D17" s="26">
        <f>D7*Assumptions!$B$92</f>
        <v>24521011.200000007</v>
      </c>
      <c r="E17" s="26">
        <f>E7*Assumptions!$B$92</f>
        <v>27463532.544000015</v>
      </c>
      <c r="F17" s="26">
        <f>F7*Assumptions!$B$92</f>
        <v>30759156.449280012</v>
      </c>
    </row>
    <row r="18" spans="1:6" x14ac:dyDescent="0.35">
      <c r="A18" s="11" t="s">
        <v>497</v>
      </c>
      <c r="B18" s="26">
        <f>B7*Assumptions!$B$93</f>
        <v>15638400.000000002</v>
      </c>
      <c r="C18" s="26">
        <f>C7*Assumptions!$B$93</f>
        <v>17515008.000000004</v>
      </c>
      <c r="D18" s="26">
        <f>D7*Assumptions!$B$93</f>
        <v>19616808.960000005</v>
      </c>
      <c r="E18" s="26">
        <f>E7*Assumptions!$B$93</f>
        <v>21970826.035200011</v>
      </c>
      <c r="F18" s="26">
        <f>F7*Assumptions!$B$93</f>
        <v>24607325.159424011</v>
      </c>
    </row>
    <row r="19" spans="1:6" x14ac:dyDescent="0.35">
      <c r="A19" s="30" t="s">
        <v>498</v>
      </c>
      <c r="B19" s="31">
        <f>SUM(B11:B18)</f>
        <v>94674858.179824233</v>
      </c>
      <c r="C19" s="31">
        <f>SUM(C11:C18)</f>
        <v>123112398.51820314</v>
      </c>
      <c r="D19" s="31">
        <f>SUM(D11:D18)</f>
        <v>154962443.69718754</v>
      </c>
      <c r="E19" s="31">
        <f>SUM(E11:E18)</f>
        <v>194999134.29765004</v>
      </c>
      <c r="F19" s="31">
        <f>SUM(F11:F18)</f>
        <v>218791070.97016805</v>
      </c>
    </row>
    <row r="21" spans="1:6" x14ac:dyDescent="0.35">
      <c r="A21" s="48" t="s">
        <v>499</v>
      </c>
      <c r="B21" s="49">
        <f>B7-B19</f>
        <v>100805141.8201758</v>
      </c>
      <c r="C21" s="49">
        <f>C7-C19</f>
        <v>95825201.48179689</v>
      </c>
      <c r="D21" s="49">
        <f>D7-D19</f>
        <v>90247668.302812517</v>
      </c>
      <c r="E21" s="49">
        <f>E7-E19</f>
        <v>79636191.142350078</v>
      </c>
      <c r="F21" s="49">
        <f>F7-F19</f>
        <v>88800493.522632062</v>
      </c>
    </row>
    <row r="22" spans="1:6" x14ac:dyDescent="0.35">
      <c r="A22" s="46" t="s">
        <v>500</v>
      </c>
      <c r="B22" s="50">
        <f>B21/B7</f>
        <v>0.51568007888364942</v>
      </c>
      <c r="C22" s="50">
        <f>C21/C7</f>
        <v>0.43768270722706781</v>
      </c>
      <c r="D22" s="50">
        <f>D21/D7</f>
        <v>0.36804219681940564</v>
      </c>
      <c r="E22" s="50">
        <f>E21/E7</f>
        <v>0.28997067662276493</v>
      </c>
      <c r="F22" s="50">
        <f>F21/F7</f>
        <v>0.28869612750615808</v>
      </c>
    </row>
    <row r="24" spans="1:6" ht="26" x14ac:dyDescent="0.35">
      <c r="A24" s="46" t="s">
        <v>501</v>
      </c>
      <c r="B24" s="51">
        <f>(B12+B13+B14+B15+B16)/B3/12</f>
        <v>3.2469215149853512</v>
      </c>
      <c r="C24" s="51">
        <f>(C12+C13+C14+C15+C16)/C3/12</f>
        <v>2.9903111992710656</v>
      </c>
      <c r="D24" s="51">
        <f>(D12+D13+D14+D15+D16)/D3/12</f>
        <v>2.7611948459547389</v>
      </c>
      <c r="E24" s="51">
        <f>(E12+E13+E14+E15+E16)/E3/12</f>
        <v>2.8155153850855696</v>
      </c>
      <c r="F24" s="51">
        <f>(F12+F13+F14+F15+F16)/F3/12</f>
        <v>2.8362777901950942</v>
      </c>
    </row>
    <row r="26" spans="1:6" ht="26" x14ac:dyDescent="0.35">
      <c r="A26" s="8" t="s">
        <v>502</v>
      </c>
      <c r="B26" s="34">
        <f>'Hardware CapEx'!$E$50+'On-Prem OpEx'!$B$32+'CDN &amp; Net Services'!$B$14+'ADAM Governance OpEx'!$B$18</f>
        <v>71396107.779824227</v>
      </c>
    </row>
  </sheetData>
  <mergeCells count="2">
    <mergeCell ref="A1:G1"/>
    <mergeCell ref="A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7"/>
  <sheetViews>
    <sheetView zoomScaleNormal="100" workbookViewId="0"/>
  </sheetViews>
  <sheetFormatPr defaultColWidth="8.6328125" defaultRowHeight="14.5" x14ac:dyDescent="0.35"/>
  <cols>
    <col min="1" max="1" width="38" customWidth="1"/>
    <col min="2" max="6" width="16" customWidth="1"/>
    <col min="7" max="7" width="60" customWidth="1"/>
  </cols>
  <sheetData>
    <row r="1" spans="1:7" ht="21.75" customHeight="1" x14ac:dyDescent="0.35">
      <c r="A1" s="3" t="s">
        <v>503</v>
      </c>
      <c r="B1" s="3"/>
      <c r="C1" s="3"/>
      <c r="D1" s="3"/>
      <c r="E1" s="3"/>
      <c r="F1" s="3"/>
      <c r="G1" s="3"/>
    </row>
    <row r="2" spans="1:7" ht="28" x14ac:dyDescent="0.35">
      <c r="A2" s="7" t="s">
        <v>451</v>
      </c>
      <c r="B2" s="7" t="s">
        <v>504</v>
      </c>
      <c r="C2" s="7" t="s">
        <v>505</v>
      </c>
      <c r="D2" s="7" t="s">
        <v>506</v>
      </c>
      <c r="E2" s="7" t="s">
        <v>507</v>
      </c>
      <c r="F2" s="7" t="s">
        <v>255</v>
      </c>
    </row>
    <row r="3" spans="1:7" ht="37.5" x14ac:dyDescent="0.35">
      <c r="A3" s="11" t="s">
        <v>455</v>
      </c>
      <c r="B3" s="21">
        <v>5.99</v>
      </c>
      <c r="C3" s="21">
        <v>4.99</v>
      </c>
      <c r="D3" s="21">
        <v>5.99</v>
      </c>
      <c r="E3" s="21">
        <v>6.99</v>
      </c>
      <c r="F3" s="11" t="s">
        <v>508</v>
      </c>
    </row>
    <row r="4" spans="1:7" ht="37.5" x14ac:dyDescent="0.35">
      <c r="A4" s="11" t="s">
        <v>457</v>
      </c>
      <c r="B4" s="21">
        <v>9.99</v>
      </c>
      <c r="C4" s="21">
        <v>8.99</v>
      </c>
      <c r="D4" s="21">
        <v>9.99</v>
      </c>
      <c r="E4" s="21">
        <v>11.99</v>
      </c>
      <c r="F4" s="11" t="s">
        <v>509</v>
      </c>
    </row>
    <row r="5" spans="1:7" ht="37.5" x14ac:dyDescent="0.35">
      <c r="A5" s="11" t="s">
        <v>459</v>
      </c>
      <c r="B5" s="21">
        <v>14.99</v>
      </c>
      <c r="C5" s="21">
        <v>13.99</v>
      </c>
      <c r="D5" s="21">
        <v>14.99</v>
      </c>
      <c r="E5" s="21">
        <v>16.989999999999998</v>
      </c>
      <c r="F5" s="11" t="s">
        <v>510</v>
      </c>
    </row>
    <row r="6" spans="1:7" ht="25" x14ac:dyDescent="0.35">
      <c r="A6" s="11" t="s">
        <v>461</v>
      </c>
      <c r="B6" s="21">
        <v>19.989999999999998</v>
      </c>
      <c r="C6" s="21">
        <v>18.989999999999998</v>
      </c>
      <c r="D6" s="21">
        <v>19.989999999999998</v>
      </c>
      <c r="E6" s="21">
        <v>22.99</v>
      </c>
      <c r="F6" s="11" t="s">
        <v>511</v>
      </c>
    </row>
    <row r="7" spans="1:7" ht="25" x14ac:dyDescent="0.35">
      <c r="A7" s="11" t="s">
        <v>512</v>
      </c>
      <c r="B7" s="21">
        <v>24.99</v>
      </c>
      <c r="C7" s="21">
        <v>24.99</v>
      </c>
      <c r="D7" s="21">
        <v>27.99</v>
      </c>
      <c r="E7" s="21">
        <v>32.99</v>
      </c>
      <c r="F7" s="11" t="s">
        <v>513</v>
      </c>
    </row>
    <row r="8" spans="1:7" ht="25" x14ac:dyDescent="0.35">
      <c r="A8" s="11" t="s">
        <v>514</v>
      </c>
      <c r="B8" s="52" t="s">
        <v>515</v>
      </c>
      <c r="C8" s="52" t="s">
        <v>515</v>
      </c>
      <c r="D8" s="52" t="s">
        <v>515</v>
      </c>
      <c r="E8" s="52" t="s">
        <v>516</v>
      </c>
      <c r="F8" s="11" t="s">
        <v>517</v>
      </c>
    </row>
    <row r="9" spans="1:7" x14ac:dyDescent="0.35">
      <c r="A9" s="46" t="s">
        <v>518</v>
      </c>
      <c r="B9" s="39">
        <f>0.2*B3+0.1*B4+0.4*B5+0.25*B6+0.05*B7</f>
        <v>14.44</v>
      </c>
      <c r="C9" s="39">
        <f>0.2*C3+0.1*C4+0.4*C5+0.25*C6+0.05*C7</f>
        <v>13.49</v>
      </c>
      <c r="D9" s="53">
        <f>0.2*D3+0.1*D4+0.4*D5+0.25*D6+0.05*D7</f>
        <v>14.59</v>
      </c>
      <c r="E9" s="39">
        <f>0.15*E3+0.08*E4+0.4*E5+0.27*E6+0.1*E7</f>
        <v>18.309999999999999</v>
      </c>
    </row>
    <row r="10" spans="1:7" x14ac:dyDescent="0.35">
      <c r="A10" s="11" t="s">
        <v>519</v>
      </c>
      <c r="B10" s="39">
        <f>0.2*8.5</f>
        <v>1.7000000000000002</v>
      </c>
      <c r="C10" s="39">
        <f>0.2*8.5</f>
        <v>1.7000000000000002</v>
      </c>
      <c r="D10" s="39">
        <f>0.2*8.5</f>
        <v>1.7000000000000002</v>
      </c>
      <c r="E10" s="39">
        <f>0.15*8.5</f>
        <v>1.2749999999999999</v>
      </c>
    </row>
    <row r="11" spans="1:7" x14ac:dyDescent="0.35">
      <c r="A11" s="30" t="s">
        <v>520</v>
      </c>
      <c r="B11" s="41">
        <f>B9+B10</f>
        <v>16.14</v>
      </c>
      <c r="C11" s="41">
        <f>C9+C10</f>
        <v>15.190000000000001</v>
      </c>
      <c r="D11" s="41">
        <f>D9+D10</f>
        <v>16.29</v>
      </c>
      <c r="E11" s="41">
        <f>E9+E10</f>
        <v>19.584999999999997</v>
      </c>
    </row>
    <row r="13" spans="1:7" x14ac:dyDescent="0.35">
      <c r="A13" s="46" t="s">
        <v>521</v>
      </c>
      <c r="B13" s="47">
        <f>Assumptions!$B$4*B11*12</f>
        <v>193680000</v>
      </c>
      <c r="C13" s="47">
        <f>Assumptions!$B$4*C11*12</f>
        <v>182280000.00000003</v>
      </c>
      <c r="D13" s="47">
        <f>Assumptions!$B$4*D11*12</f>
        <v>195480000</v>
      </c>
      <c r="E13" s="47">
        <f>Assumptions!$B$4*E11*12</f>
        <v>235019999.99999994</v>
      </c>
    </row>
    <row r="14" spans="1:7" ht="25" x14ac:dyDescent="0.35">
      <c r="A14" s="11" t="s">
        <v>522</v>
      </c>
      <c r="B14" s="26">
        <f>'Consolidated TCO'!$B$15+B13*(Assumptions!$B$91/Assumptions!$B$90+Assumptions!$B$92+Assumptions!$B$93)</f>
        <v>94161858.179824233</v>
      </c>
      <c r="C14" s="26">
        <f>'Consolidated TCO'!$B$15+C13*(Assumptions!$B$91/Assumptions!$B$90+Assumptions!$B$92+Assumptions!$B$93)</f>
        <v>90912858.179824233</v>
      </c>
      <c r="D14" s="26">
        <f>'Consolidated TCO'!$B$15+D13*(Assumptions!$B$91/Assumptions!$B$90+Assumptions!$B$92+Assumptions!$B$93)</f>
        <v>94674858.179824233</v>
      </c>
      <c r="E14" s="26">
        <f>'Consolidated TCO'!$B$15+E13*(Assumptions!$B$91/Assumptions!$B$90+Assumptions!$B$92+Assumptions!$B$93)</f>
        <v>105943758.1798242</v>
      </c>
    </row>
    <row r="15" spans="1:7" x14ac:dyDescent="0.35">
      <c r="A15" s="32" t="s">
        <v>523</v>
      </c>
      <c r="B15" s="54">
        <f>(B13-B14)/B13</f>
        <v>0.51382766325989138</v>
      </c>
      <c r="C15" s="54">
        <f>(C13-C14)/C13</f>
        <v>0.5012461148791737</v>
      </c>
      <c r="D15" s="54">
        <f>(D13-D14)/D13</f>
        <v>0.51568007888364931</v>
      </c>
      <c r="E15" s="54">
        <f>(E13-E14)/E13</f>
        <v>0.54921386188484289</v>
      </c>
    </row>
    <row r="17" spans="1:6" ht="37.5" x14ac:dyDescent="0.35">
      <c r="A17" s="8" t="s">
        <v>524</v>
      </c>
      <c r="B17" s="55">
        <f>('Consolidated TCO'!$B$15/(0.65-(Assumptions!$B$91/Assumptions!$B$90+Assumptions!$B$92+Assumptions!$B$93)))/Assumptions!$B$4/12</f>
        <v>8.8956753835215103</v>
      </c>
      <c r="C17" s="10" t="s">
        <v>525</v>
      </c>
      <c r="D17" s="10" t="s">
        <v>525</v>
      </c>
      <c r="E17" s="10" t="s">
        <v>525</v>
      </c>
      <c r="F17" s="11" t="s">
        <v>526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4"/>
  <sheetViews>
    <sheetView zoomScaleNormal="100" workbookViewId="0"/>
  </sheetViews>
  <sheetFormatPr defaultColWidth="8.6328125" defaultRowHeight="14.5" x14ac:dyDescent="0.35"/>
  <cols>
    <col min="1" max="1" width="22" customWidth="1"/>
    <col min="2" max="6" width="14" customWidth="1"/>
    <col min="7" max="7" width="60" customWidth="1"/>
  </cols>
  <sheetData>
    <row r="1" spans="1:7" ht="21.75" customHeight="1" x14ac:dyDescent="0.35">
      <c r="A1" s="3" t="s">
        <v>527</v>
      </c>
      <c r="B1" s="3"/>
      <c r="C1" s="3"/>
      <c r="D1" s="3"/>
      <c r="E1" s="3"/>
      <c r="F1" s="3"/>
      <c r="G1" s="3"/>
    </row>
    <row r="2" spans="1:7" x14ac:dyDescent="0.35">
      <c r="A2" s="7" t="s">
        <v>528</v>
      </c>
      <c r="B2" s="7" t="s">
        <v>529</v>
      </c>
      <c r="C2" s="7" t="s">
        <v>530</v>
      </c>
      <c r="D2" s="7" t="s">
        <v>531</v>
      </c>
      <c r="E2" s="7" t="s">
        <v>532</v>
      </c>
      <c r="F2" s="7" t="s">
        <v>533</v>
      </c>
      <c r="G2" s="7" t="s">
        <v>255</v>
      </c>
    </row>
    <row r="3" spans="1:7" x14ac:dyDescent="0.35">
      <c r="A3" s="11" t="s">
        <v>534</v>
      </c>
      <c r="B3" s="21">
        <v>6.99</v>
      </c>
      <c r="C3" s="10" t="s">
        <v>535</v>
      </c>
      <c r="D3" s="21">
        <v>17.989999999999998</v>
      </c>
      <c r="E3" s="10" t="s">
        <v>535</v>
      </c>
      <c r="F3" s="21">
        <v>24.99</v>
      </c>
      <c r="G3" s="11" t="s">
        <v>536</v>
      </c>
    </row>
    <row r="4" spans="1:7" x14ac:dyDescent="0.35">
      <c r="A4" s="11" t="s">
        <v>537</v>
      </c>
      <c r="B4" s="21">
        <v>7.99</v>
      </c>
      <c r="C4" s="10" t="s">
        <v>535</v>
      </c>
      <c r="D4" s="21">
        <v>13.99</v>
      </c>
      <c r="E4" s="10" t="s">
        <v>535</v>
      </c>
      <c r="F4" s="21">
        <v>20.99</v>
      </c>
      <c r="G4" s="11" t="s">
        <v>538</v>
      </c>
    </row>
    <row r="5" spans="1:7" x14ac:dyDescent="0.35">
      <c r="A5" s="11" t="s">
        <v>539</v>
      </c>
      <c r="B5" s="21">
        <v>9.99</v>
      </c>
      <c r="C5" s="10" t="s">
        <v>535</v>
      </c>
      <c r="D5" s="21">
        <v>16.989999999999998</v>
      </c>
      <c r="E5" s="10" t="s">
        <v>535</v>
      </c>
      <c r="F5" s="21">
        <v>20.99</v>
      </c>
      <c r="G5" s="11" t="s">
        <v>540</v>
      </c>
    </row>
    <row r="6" spans="1:7" x14ac:dyDescent="0.35">
      <c r="A6" s="11" t="s">
        <v>541</v>
      </c>
      <c r="B6" s="21">
        <v>7.99</v>
      </c>
      <c r="C6" s="10" t="s">
        <v>535</v>
      </c>
      <c r="D6" s="21">
        <v>12.99</v>
      </c>
      <c r="E6" s="10" t="s">
        <v>535</v>
      </c>
      <c r="F6" s="21">
        <v>14.99</v>
      </c>
      <c r="G6" s="11" t="s">
        <v>542</v>
      </c>
    </row>
    <row r="7" spans="1:7" x14ac:dyDescent="0.35">
      <c r="A7" s="11" t="s">
        <v>543</v>
      </c>
      <c r="B7" s="10" t="s">
        <v>535</v>
      </c>
      <c r="C7" s="10" t="s">
        <v>535</v>
      </c>
      <c r="D7" s="10" t="s">
        <v>535</v>
      </c>
      <c r="E7" s="21">
        <v>9.99</v>
      </c>
      <c r="F7" s="10" t="s">
        <v>535</v>
      </c>
      <c r="G7" s="11" t="s">
        <v>544</v>
      </c>
    </row>
    <row r="8" spans="1:7" x14ac:dyDescent="0.35">
      <c r="A8" s="11" t="s">
        <v>545</v>
      </c>
      <c r="B8" s="21">
        <v>2.99</v>
      </c>
      <c r="C8" s="10" t="s">
        <v>535</v>
      </c>
      <c r="D8" s="21">
        <v>8.99</v>
      </c>
      <c r="E8" s="10" t="s">
        <v>535</v>
      </c>
      <c r="F8" s="21">
        <v>14.99</v>
      </c>
      <c r="G8" s="11" t="s">
        <v>546</v>
      </c>
    </row>
    <row r="9" spans="1:7" x14ac:dyDescent="0.35">
      <c r="A9" s="11" t="s">
        <v>547</v>
      </c>
      <c r="B9" s="21">
        <v>7.99</v>
      </c>
      <c r="C9" s="10" t="s">
        <v>535</v>
      </c>
      <c r="D9" s="21">
        <v>17.989999999999998</v>
      </c>
      <c r="E9" s="10" t="s">
        <v>535</v>
      </c>
      <c r="F9" s="21">
        <v>18.989999999999998</v>
      </c>
      <c r="G9" s="11" t="s">
        <v>548</v>
      </c>
    </row>
    <row r="10" spans="1:7" x14ac:dyDescent="0.35">
      <c r="A10" s="11" t="s">
        <v>549</v>
      </c>
      <c r="B10" s="10" t="s">
        <v>535</v>
      </c>
      <c r="C10" s="10" t="s">
        <v>535</v>
      </c>
      <c r="D10" s="21">
        <v>14.99</v>
      </c>
      <c r="E10" s="10" t="s">
        <v>535</v>
      </c>
      <c r="F10" s="10" t="s">
        <v>535</v>
      </c>
      <c r="G10" s="11" t="s">
        <v>550</v>
      </c>
    </row>
    <row r="11" spans="1:7" x14ac:dyDescent="0.35">
      <c r="A11" s="11" t="s">
        <v>551</v>
      </c>
      <c r="B11" s="21">
        <v>7.99</v>
      </c>
      <c r="C11" s="10" t="s">
        <v>535</v>
      </c>
      <c r="D11" s="21">
        <v>13.99</v>
      </c>
      <c r="E11" s="10" t="s">
        <v>535</v>
      </c>
      <c r="F11" s="21">
        <v>13.99</v>
      </c>
      <c r="G11" s="11" t="s">
        <v>552</v>
      </c>
    </row>
    <row r="12" spans="1:7" x14ac:dyDescent="0.35">
      <c r="A12" s="11" t="s">
        <v>553</v>
      </c>
      <c r="B12" s="10" t="s">
        <v>535</v>
      </c>
      <c r="C12" s="21">
        <v>13.99</v>
      </c>
      <c r="D12" s="10" t="s">
        <v>535</v>
      </c>
      <c r="E12" s="10" t="s">
        <v>535</v>
      </c>
      <c r="F12" s="10" t="s">
        <v>535</v>
      </c>
      <c r="G12" s="11" t="s">
        <v>554</v>
      </c>
    </row>
    <row r="13" spans="1:7" x14ac:dyDescent="0.35">
      <c r="A13" s="27" t="s">
        <v>555</v>
      </c>
      <c r="B13" s="37">
        <f>MEDIAN(B3:B12)</f>
        <v>7.99</v>
      </c>
      <c r="C13" s="37">
        <f>MEDIAN(C3:C12)</f>
        <v>13.99</v>
      </c>
      <c r="D13" s="37">
        <f>MEDIAN(D3:D12)</f>
        <v>14.49</v>
      </c>
      <c r="E13" s="37">
        <f>MEDIAN(E3:E12)</f>
        <v>9.99</v>
      </c>
      <c r="F13" s="37">
        <f>MEDIAN(F3:F12)</f>
        <v>18.989999999999998</v>
      </c>
      <c r="G13" s="56" t="s">
        <v>556</v>
      </c>
    </row>
    <row r="14" spans="1:7" ht="39" x14ac:dyDescent="0.35">
      <c r="A14" s="32" t="s">
        <v>557</v>
      </c>
      <c r="B14" s="57">
        <f>'Pricing Scenarios'!D3</f>
        <v>5.99</v>
      </c>
      <c r="C14" s="57">
        <f>'Pricing Scenarios'!D4</f>
        <v>9.99</v>
      </c>
      <c r="D14" s="57">
        <f>'Pricing Scenarios'!D5</f>
        <v>14.99</v>
      </c>
      <c r="E14" s="57">
        <f>'Pricing Scenarios'!D6</f>
        <v>19.989999999999998</v>
      </c>
      <c r="F14" s="57">
        <f>'Pricing Scenarios'!D7</f>
        <v>27.99</v>
      </c>
      <c r="G14" s="58" t="s">
        <v>558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"/>
  <sheetViews>
    <sheetView zoomScaleNormal="100" workbookViewId="0"/>
  </sheetViews>
  <sheetFormatPr defaultColWidth="8.6328125" defaultRowHeight="14.5" x14ac:dyDescent="0.35"/>
  <cols>
    <col min="1" max="1" width="42" customWidth="1"/>
    <col min="2" max="4" width="22" customWidth="1"/>
    <col min="5" max="5" width="70" customWidth="1"/>
  </cols>
  <sheetData>
    <row r="1" spans="1:5" ht="21.75" customHeight="1" x14ac:dyDescent="0.35">
      <c r="A1" s="3" t="s">
        <v>559</v>
      </c>
      <c r="B1" s="3"/>
      <c r="C1" s="3"/>
      <c r="D1" s="3"/>
      <c r="E1" s="3"/>
    </row>
    <row r="2" spans="1:5" x14ac:dyDescent="0.35">
      <c r="A2" s="7" t="s">
        <v>432</v>
      </c>
      <c r="B2" s="7" t="s">
        <v>560</v>
      </c>
      <c r="C2" s="7" t="s">
        <v>561</v>
      </c>
      <c r="D2" s="7" t="s">
        <v>562</v>
      </c>
      <c r="E2" s="7" t="s">
        <v>255</v>
      </c>
    </row>
    <row r="3" spans="1:5" x14ac:dyDescent="0.35">
      <c r="A3" s="11" t="s">
        <v>563</v>
      </c>
      <c r="B3" s="25">
        <f>'Consolidated TCO'!$B$15</f>
        <v>38963058.179824218</v>
      </c>
      <c r="C3" s="19">
        <v>47500000</v>
      </c>
      <c r="D3" s="26">
        <f>B3-C3</f>
        <v>-8536941.8201757818</v>
      </c>
      <c r="E3" s="11" t="s">
        <v>564</v>
      </c>
    </row>
    <row r="4" spans="1:5" x14ac:dyDescent="0.35">
      <c r="A4" s="59" t="s">
        <v>565</v>
      </c>
      <c r="B4" s="60">
        <f>'Consolidated TCO'!$B$8</f>
        <v>71396107.779824227</v>
      </c>
      <c r="C4" s="22">
        <v>47500000</v>
      </c>
      <c r="D4" s="61">
        <f>B4-C4</f>
        <v>23896107.779824227</v>
      </c>
      <c r="E4" s="59" t="s">
        <v>566</v>
      </c>
    </row>
    <row r="5" spans="1:5" x14ac:dyDescent="0.35">
      <c r="A5" s="11" t="s">
        <v>567</v>
      </c>
      <c r="B5" s="26">
        <f>'Hardware CapEx'!$E$50+5*'On-Prem OpEx'!$B$32+5*'ADAM Governance OpEx'!$B$18+'CDN &amp; Net Services'!$B$14*(1+1.12+1.12^2+1.12^3+1.12^4)+2*'Hardware CapEx'!$E$52</f>
        <v>217374327.42098486</v>
      </c>
      <c r="C5" s="19">
        <v>260000000</v>
      </c>
      <c r="D5" s="26">
        <f>B5-C5</f>
        <v>-42625672.579015136</v>
      </c>
      <c r="E5" s="11" t="s">
        <v>568</v>
      </c>
    </row>
    <row r="6" spans="1:5" x14ac:dyDescent="0.35">
      <c r="A6" s="11" t="s">
        <v>569</v>
      </c>
      <c r="B6" s="44">
        <f>Assumptions!$B$59</f>
        <v>39</v>
      </c>
      <c r="C6" s="17">
        <v>23</v>
      </c>
      <c r="D6" s="23">
        <f>B6-C6</f>
        <v>16</v>
      </c>
      <c r="E6" s="11" t="s">
        <v>570</v>
      </c>
    </row>
    <row r="7" spans="1:5" x14ac:dyDescent="0.35">
      <c r="A7" s="11" t="s">
        <v>571</v>
      </c>
      <c r="B7" s="52" t="s">
        <v>572</v>
      </c>
      <c r="C7" s="52" t="s">
        <v>573</v>
      </c>
      <c r="D7" s="62" t="s">
        <v>574</v>
      </c>
      <c r="E7" s="11" t="s">
        <v>575</v>
      </c>
    </row>
    <row r="8" spans="1:5" ht="25" x14ac:dyDescent="0.35">
      <c r="A8" s="11" t="s">
        <v>576</v>
      </c>
      <c r="B8" s="63" t="s">
        <v>577</v>
      </c>
      <c r="C8" s="64" t="s">
        <v>578</v>
      </c>
      <c r="D8" s="63" t="s">
        <v>579</v>
      </c>
      <c r="E8" s="11" t="s">
        <v>580</v>
      </c>
    </row>
    <row r="9" spans="1:5" ht="25" x14ac:dyDescent="0.35">
      <c r="A9" s="11" t="s">
        <v>581</v>
      </c>
      <c r="B9" s="65" t="s">
        <v>582</v>
      </c>
      <c r="C9" s="62" t="s">
        <v>583</v>
      </c>
      <c r="D9" s="10" t="s">
        <v>584</v>
      </c>
      <c r="E9" s="11" t="s">
        <v>585</v>
      </c>
    </row>
    <row r="10" spans="1:5" ht="25" x14ac:dyDescent="0.35">
      <c r="A10" s="11" t="s">
        <v>586</v>
      </c>
      <c r="B10" s="52" t="s">
        <v>587</v>
      </c>
      <c r="C10" s="65" t="s">
        <v>588</v>
      </c>
      <c r="D10" s="62" t="s">
        <v>589</v>
      </c>
      <c r="E10" s="11" t="s">
        <v>590</v>
      </c>
    </row>
    <row r="12" spans="1:5" ht="14.15" customHeight="1" x14ac:dyDescent="0.35">
      <c r="A12" s="1" t="s">
        <v>591</v>
      </c>
      <c r="B12" s="1"/>
      <c r="C12" s="1"/>
      <c r="D12" s="1"/>
      <c r="E12" s="1"/>
    </row>
    <row r="13" spans="1:5" ht="25" x14ac:dyDescent="0.35">
      <c r="A13" s="11" t="s">
        <v>592</v>
      </c>
      <c r="B13" s="66">
        <f>'Hardware CapEx'!$E$50/MAX((47500000-('On-Prem OpEx'!$B$32+'CDN &amp; Net Services'!$B$14+'ADAM Governance OpEx'!$B$18)),1)</f>
        <v>2.4356151756227518</v>
      </c>
      <c r="E13" s="11" t="s">
        <v>593</v>
      </c>
    </row>
  </sheetData>
  <mergeCells count="2">
    <mergeCell ref="A1:E1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4"/>
  <sheetViews>
    <sheetView zoomScaleNormal="100" workbookViewId="0"/>
  </sheetViews>
  <sheetFormatPr defaultColWidth="8.6328125" defaultRowHeight="14.5" x14ac:dyDescent="0.35"/>
  <cols>
    <col min="1" max="1" width="115" customWidth="1"/>
  </cols>
  <sheetData>
    <row r="1" spans="1:1" ht="25.5" customHeight="1" x14ac:dyDescent="0.35">
      <c r="A1" s="4" t="s">
        <v>594</v>
      </c>
    </row>
    <row r="3" spans="1:1" x14ac:dyDescent="0.35">
      <c r="A3" s="5" t="s">
        <v>595</v>
      </c>
    </row>
    <row r="4" spans="1:1" ht="97.5" customHeight="1" x14ac:dyDescent="0.35">
      <c r="A4" s="6" t="s">
        <v>596</v>
      </c>
    </row>
    <row r="6" spans="1:1" x14ac:dyDescent="0.35">
      <c r="A6" s="5" t="s">
        <v>597</v>
      </c>
    </row>
    <row r="7" spans="1:1" ht="69.75" customHeight="1" x14ac:dyDescent="0.35">
      <c r="A7" s="6" t="s">
        <v>598</v>
      </c>
    </row>
    <row r="9" spans="1:1" x14ac:dyDescent="0.35">
      <c r="A9" s="5" t="s">
        <v>599</v>
      </c>
    </row>
    <row r="10" spans="1:1" ht="84" customHeight="1" x14ac:dyDescent="0.35">
      <c r="A10" s="6" t="s">
        <v>600</v>
      </c>
    </row>
    <row r="12" spans="1:1" x14ac:dyDescent="0.35">
      <c r="A12" s="5" t="s">
        <v>601</v>
      </c>
    </row>
    <row r="13" spans="1:1" ht="84" customHeight="1" x14ac:dyDescent="0.35">
      <c r="A13" s="6" t="s">
        <v>602</v>
      </c>
    </row>
    <row r="15" spans="1:1" x14ac:dyDescent="0.35">
      <c r="A15" s="5" t="s">
        <v>603</v>
      </c>
    </row>
    <row r="16" spans="1:1" ht="55.5" customHeight="1" x14ac:dyDescent="0.35">
      <c r="A16" s="6" t="s">
        <v>604</v>
      </c>
    </row>
    <row r="18" spans="1:1" x14ac:dyDescent="0.35">
      <c r="A18" s="5" t="s">
        <v>605</v>
      </c>
    </row>
    <row r="19" spans="1:1" ht="69.75" customHeight="1" x14ac:dyDescent="0.35">
      <c r="A19" s="6" t="s">
        <v>606</v>
      </c>
    </row>
    <row r="21" spans="1:1" x14ac:dyDescent="0.35">
      <c r="A21" s="5" t="s">
        <v>607</v>
      </c>
    </row>
    <row r="22" spans="1:1" ht="55.5" customHeight="1" x14ac:dyDescent="0.35">
      <c r="A22" s="6" t="s">
        <v>608</v>
      </c>
    </row>
    <row r="24" spans="1:1" x14ac:dyDescent="0.35">
      <c r="A24" s="5" t="s">
        <v>609</v>
      </c>
    </row>
    <row r="25" spans="1:1" ht="55.5" customHeight="1" x14ac:dyDescent="0.35">
      <c r="A25" s="6" t="s">
        <v>610</v>
      </c>
    </row>
    <row r="27" spans="1:1" x14ac:dyDescent="0.35">
      <c r="A27" s="5" t="s">
        <v>611</v>
      </c>
    </row>
    <row r="28" spans="1:1" ht="69.75" customHeight="1" x14ac:dyDescent="0.35">
      <c r="A28" s="6" t="s">
        <v>612</v>
      </c>
    </row>
    <row r="30" spans="1:1" x14ac:dyDescent="0.35">
      <c r="A30" s="5" t="s">
        <v>613</v>
      </c>
    </row>
    <row r="31" spans="1:1" ht="97.5" customHeight="1" x14ac:dyDescent="0.35">
      <c r="A31" s="6" t="s">
        <v>614</v>
      </c>
    </row>
    <row r="33" spans="1:1" x14ac:dyDescent="0.35">
      <c r="A33" s="5" t="s">
        <v>615</v>
      </c>
    </row>
    <row r="34" spans="1:1" ht="69.75" customHeight="1" x14ac:dyDescent="0.35">
      <c r="A34" s="6" t="s">
        <v>616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Assumptions</vt:lpstr>
      <vt:lpstr>Workload Sizing</vt:lpstr>
      <vt:lpstr>Hardware CapEx</vt:lpstr>
      <vt:lpstr>On-Prem OpEx</vt:lpstr>
      <vt:lpstr>CDN &amp; Net Services</vt:lpstr>
      <vt:lpstr>ADAM Governance OpEx</vt:lpstr>
      <vt:lpstr>Consolidated TCO</vt:lpstr>
      <vt:lpstr>Revenue Model</vt:lpstr>
      <vt:lpstr>5-Year P&amp;L</vt:lpstr>
      <vt:lpstr>Pricing Scenarios</vt:lpstr>
      <vt:lpstr>Competitive Bench</vt:lpstr>
      <vt:lpstr>OnPrem vs MultiCloud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Lamb</cp:lastModifiedBy>
  <cp:revision>0</cp:revision>
  <dcterms:created xsi:type="dcterms:W3CDTF">2026-04-18T16:21:48Z</dcterms:created>
  <dcterms:modified xsi:type="dcterms:W3CDTF">2026-04-21T04:15:22Z</dcterms:modified>
  <dc:language>en-US</dc:language>
</cp:coreProperties>
</file>