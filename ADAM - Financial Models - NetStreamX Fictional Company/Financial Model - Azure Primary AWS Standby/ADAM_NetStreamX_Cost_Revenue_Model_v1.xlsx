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7c3f3671c8633cd/Documents/Autonomy Book and KPN/"/>
    </mc:Choice>
  </mc:AlternateContent>
  <xr:revisionPtr revIDLastSave="4" documentId="11_36A39BC244677C70F660D966208981161542B164" xr6:coauthVersionLast="47" xr6:coauthVersionMax="47" xr10:uidLastSave="{FA250EEA-8B2E-4D0E-B409-811B3E954559}"/>
  <bookViews>
    <workbookView xWindow="-110" yWindow="-110" windowWidth="22780" windowHeight="15260" tabRatio="500" firstSheet="1" activeTab="5" xr2:uid="{00000000-000D-0000-FFFF-FFFF00000000}"/>
  </bookViews>
  <sheets>
    <sheet name="README" sheetId="1" r:id="rId1"/>
    <sheet name="Assumptions" sheetId="2" r:id="rId2"/>
    <sheet name="Workload Sizing" sheetId="3" r:id="rId3"/>
    <sheet name="Azure Primary" sheetId="4" r:id="rId4"/>
    <sheet name="AWS Standby" sheetId="5" r:id="rId5"/>
    <sheet name="ADAM Governance OpEx" sheetId="6" r:id="rId6"/>
    <sheet name="Consolidated OpEx" sheetId="7" r:id="rId7"/>
    <sheet name="Revenue Model" sheetId="8" r:id="rId8"/>
    <sheet name="5-Year P&amp;L" sheetId="9" r:id="rId9"/>
    <sheet name="Pricing Scenarios" sheetId="10" r:id="rId10"/>
    <sheet name="Competitive Bench" sheetId="11" r:id="rId11"/>
    <sheet name="Recommendations" sheetId="12" r:id="rId1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6" l="1"/>
  <c r="B12" i="12"/>
  <c r="D7" i="12"/>
  <c r="C7" i="12"/>
  <c r="B7" i="12"/>
  <c r="C6" i="12"/>
  <c r="D6" i="12" s="1"/>
  <c r="B6" i="12"/>
  <c r="C5" i="12"/>
  <c r="B5" i="12"/>
  <c r="D5" i="12" s="1"/>
  <c r="C4" i="12"/>
  <c r="B4" i="12"/>
  <c r="D8" i="12" s="1"/>
  <c r="D3" i="12"/>
  <c r="C3" i="12"/>
  <c r="B3" i="12"/>
  <c r="C6" i="9"/>
  <c r="B6" i="9"/>
  <c r="E15" i="8"/>
  <c r="C15" i="8"/>
  <c r="D15" i="8" s="1"/>
  <c r="B15" i="8"/>
  <c r="B8" i="8"/>
  <c r="E7" i="8"/>
  <c r="F7" i="8" s="1"/>
  <c r="D7" i="8"/>
  <c r="C7" i="8"/>
  <c r="B7" i="8"/>
  <c r="C6" i="8"/>
  <c r="D6" i="8" s="1"/>
  <c r="B6" i="8"/>
  <c r="E6" i="8" s="1"/>
  <c r="F6" i="8" s="1"/>
  <c r="F5" i="8"/>
  <c r="D5" i="8"/>
  <c r="E5" i="8" s="1"/>
  <c r="C5" i="8"/>
  <c r="B5" i="8"/>
  <c r="C4" i="8"/>
  <c r="D4" i="8" s="1"/>
  <c r="E4" i="8" s="1"/>
  <c r="F4" i="8" s="1"/>
  <c r="B4" i="8"/>
  <c r="C3" i="8"/>
  <c r="C9" i="8" s="1"/>
  <c r="B3" i="8"/>
  <c r="B10" i="7"/>
  <c r="C10" i="7" s="1"/>
  <c r="D10" i="7" s="1"/>
  <c r="E10" i="7" s="1"/>
  <c r="F10" i="7" s="1"/>
  <c r="G10" i="7" s="1"/>
  <c r="D7" i="7"/>
  <c r="E7" i="7" s="1"/>
  <c r="D6" i="9" s="1"/>
  <c r="C7" i="7"/>
  <c r="B7" i="7"/>
  <c r="D20" i="6"/>
  <c r="C19" i="6"/>
  <c r="B19" i="6"/>
  <c r="B18" i="6"/>
  <c r="C18" i="6" s="1"/>
  <c r="B17" i="6"/>
  <c r="B16" i="6"/>
  <c r="C15" i="6"/>
  <c r="B15" i="6"/>
  <c r="B14" i="6"/>
  <c r="C13" i="6"/>
  <c r="B13" i="6"/>
  <c r="C12" i="6"/>
  <c r="B12" i="6"/>
  <c r="B11" i="6"/>
  <c r="B10" i="6"/>
  <c r="C10" i="6" s="1"/>
  <c r="B9" i="6"/>
  <c r="B8" i="6"/>
  <c r="C8" i="6" s="1"/>
  <c r="C7" i="6"/>
  <c r="B7" i="6"/>
  <c r="B6" i="6"/>
  <c r="E51" i="5"/>
  <c r="F51" i="5" s="1"/>
  <c r="G51" i="5" s="1"/>
  <c r="E50" i="5"/>
  <c r="F50" i="5" s="1"/>
  <c r="G50" i="5" s="1"/>
  <c r="E49" i="5"/>
  <c r="F49" i="5" s="1"/>
  <c r="G49" i="5" s="1"/>
  <c r="F48" i="5"/>
  <c r="G48" i="5" s="1"/>
  <c r="E48" i="5"/>
  <c r="E46" i="5"/>
  <c r="F46" i="5" s="1"/>
  <c r="G46" i="5" s="1"/>
  <c r="F45" i="5"/>
  <c r="G45" i="5" s="1"/>
  <c r="E45" i="5"/>
  <c r="G44" i="5"/>
  <c r="F44" i="5"/>
  <c r="E44" i="5"/>
  <c r="F42" i="5"/>
  <c r="G42" i="5" s="1"/>
  <c r="E42" i="5"/>
  <c r="E41" i="5"/>
  <c r="F41" i="5" s="1"/>
  <c r="G41" i="5" s="1"/>
  <c r="E40" i="5"/>
  <c r="F40" i="5" s="1"/>
  <c r="G40" i="5" s="1"/>
  <c r="F39" i="5"/>
  <c r="G39" i="5" s="1"/>
  <c r="E39" i="5"/>
  <c r="F37" i="5"/>
  <c r="G37" i="5" s="1"/>
  <c r="E37" i="5"/>
  <c r="E36" i="5"/>
  <c r="F36" i="5" s="1"/>
  <c r="G36" i="5" s="1"/>
  <c r="F33" i="5"/>
  <c r="G33" i="5" s="1"/>
  <c r="E33" i="5"/>
  <c r="G32" i="5"/>
  <c r="E32" i="5"/>
  <c r="F32" i="5" s="1"/>
  <c r="E31" i="5"/>
  <c r="F31" i="5" s="1"/>
  <c r="G31" i="5" s="1"/>
  <c r="F30" i="5"/>
  <c r="G30" i="5" s="1"/>
  <c r="E30" i="5"/>
  <c r="F28" i="5"/>
  <c r="G28" i="5" s="1"/>
  <c r="E28" i="5"/>
  <c r="E27" i="5"/>
  <c r="F27" i="5" s="1"/>
  <c r="G27" i="5" s="1"/>
  <c r="E21" i="5"/>
  <c r="F21" i="5" s="1"/>
  <c r="G21" i="5" s="1"/>
  <c r="E20" i="5"/>
  <c r="F20" i="5" s="1"/>
  <c r="G20" i="5" s="1"/>
  <c r="F19" i="5"/>
  <c r="G19" i="5" s="1"/>
  <c r="E19" i="5"/>
  <c r="E18" i="5"/>
  <c r="F18" i="5" s="1"/>
  <c r="G18" i="5" s="1"/>
  <c r="F17" i="5"/>
  <c r="G17" i="5" s="1"/>
  <c r="E17" i="5"/>
  <c r="G16" i="5"/>
  <c r="F16" i="5"/>
  <c r="E16" i="5"/>
  <c r="E15" i="5"/>
  <c r="F15" i="5" s="1"/>
  <c r="G15" i="5" s="1"/>
  <c r="E13" i="5"/>
  <c r="F13" i="5" s="1"/>
  <c r="G13" i="5" s="1"/>
  <c r="E12" i="5"/>
  <c r="F12" i="5" s="1"/>
  <c r="G12" i="5" s="1"/>
  <c r="E11" i="5"/>
  <c r="F11" i="5" s="1"/>
  <c r="G11" i="5" s="1"/>
  <c r="F9" i="5"/>
  <c r="G9" i="5" s="1"/>
  <c r="E9" i="5"/>
  <c r="E8" i="5"/>
  <c r="F8" i="5" s="1"/>
  <c r="G8" i="5" s="1"/>
  <c r="G7" i="5"/>
  <c r="F7" i="5"/>
  <c r="E7" i="5"/>
  <c r="G6" i="5"/>
  <c r="F6" i="5"/>
  <c r="E6" i="5"/>
  <c r="E5" i="5"/>
  <c r="F5" i="5" s="1"/>
  <c r="G5" i="5" s="1"/>
  <c r="E62" i="4"/>
  <c r="F62" i="4" s="1"/>
  <c r="G62" i="4" s="1"/>
  <c r="F61" i="4"/>
  <c r="G61" i="4" s="1"/>
  <c r="E61" i="4"/>
  <c r="F59" i="4"/>
  <c r="G59" i="4" s="1"/>
  <c r="E59" i="4"/>
  <c r="E58" i="4"/>
  <c r="F58" i="4" s="1"/>
  <c r="G58" i="4" s="1"/>
  <c r="G57" i="4"/>
  <c r="F57" i="4"/>
  <c r="E57" i="4"/>
  <c r="G56" i="4"/>
  <c r="F56" i="4"/>
  <c r="E56" i="4"/>
  <c r="E54" i="4"/>
  <c r="F54" i="4" s="1"/>
  <c r="G54" i="4" s="1"/>
  <c r="G53" i="4"/>
  <c r="E53" i="4"/>
  <c r="F53" i="4" s="1"/>
  <c r="E52" i="4"/>
  <c r="F52" i="4" s="1"/>
  <c r="G52" i="4" s="1"/>
  <c r="E51" i="4"/>
  <c r="F51" i="4" s="1"/>
  <c r="G51" i="4" s="1"/>
  <c r="F49" i="4"/>
  <c r="G49" i="4" s="1"/>
  <c r="E49" i="4"/>
  <c r="E48" i="4"/>
  <c r="F48" i="4" s="1"/>
  <c r="G48" i="4" s="1"/>
  <c r="F47" i="4"/>
  <c r="G47" i="4" s="1"/>
  <c r="E47" i="4"/>
  <c r="E44" i="4"/>
  <c r="F44" i="4" s="1"/>
  <c r="G44" i="4" s="1"/>
  <c r="E43" i="4"/>
  <c r="F43" i="4" s="1"/>
  <c r="G43" i="4" s="1"/>
  <c r="E41" i="4"/>
  <c r="F41" i="4" s="1"/>
  <c r="G41" i="4" s="1"/>
  <c r="E39" i="4"/>
  <c r="F39" i="4" s="1"/>
  <c r="G39" i="4" s="1"/>
  <c r="G37" i="4"/>
  <c r="F37" i="4"/>
  <c r="E37" i="4"/>
  <c r="F36" i="4"/>
  <c r="G36" i="4" s="1"/>
  <c r="E36" i="4"/>
  <c r="E35" i="4"/>
  <c r="F35" i="4" s="1"/>
  <c r="G35" i="4" s="1"/>
  <c r="E33" i="4"/>
  <c r="F33" i="4" s="1"/>
  <c r="G33" i="4" s="1"/>
  <c r="E32" i="4"/>
  <c r="F32" i="4" s="1"/>
  <c r="G32" i="4" s="1"/>
  <c r="F31" i="4"/>
  <c r="G31" i="4" s="1"/>
  <c r="E31" i="4"/>
  <c r="G25" i="4"/>
  <c r="E25" i="4"/>
  <c r="F25" i="4" s="1"/>
  <c r="E24" i="4"/>
  <c r="F24" i="4" s="1"/>
  <c r="G24" i="4" s="1"/>
  <c r="E23" i="4"/>
  <c r="F23" i="4" s="1"/>
  <c r="G23" i="4" s="1"/>
  <c r="F22" i="4"/>
  <c r="G22" i="4" s="1"/>
  <c r="E22" i="4"/>
  <c r="E21" i="4"/>
  <c r="F21" i="4" s="1"/>
  <c r="G21" i="4" s="1"/>
  <c r="F20" i="4"/>
  <c r="G20" i="4" s="1"/>
  <c r="E20" i="4"/>
  <c r="G18" i="4"/>
  <c r="F18" i="4"/>
  <c r="E18" i="4"/>
  <c r="E17" i="4"/>
  <c r="F17" i="4" s="1"/>
  <c r="G17" i="4" s="1"/>
  <c r="E16" i="4"/>
  <c r="F16" i="4" s="1"/>
  <c r="G16" i="4" s="1"/>
  <c r="E15" i="4"/>
  <c r="F15" i="4" s="1"/>
  <c r="G15" i="4" s="1"/>
  <c r="F14" i="4"/>
  <c r="G14" i="4" s="1"/>
  <c r="E14" i="4"/>
  <c r="F12" i="4"/>
  <c r="G12" i="4" s="1"/>
  <c r="E12" i="4"/>
  <c r="E11" i="4"/>
  <c r="F11" i="4" s="1"/>
  <c r="G11" i="4" s="1"/>
  <c r="F10" i="4"/>
  <c r="G10" i="4" s="1"/>
  <c r="E10" i="4"/>
  <c r="G9" i="4"/>
  <c r="F9" i="4"/>
  <c r="E9" i="4"/>
  <c r="F7" i="4"/>
  <c r="G7" i="4" s="1"/>
  <c r="E7" i="4"/>
  <c r="E6" i="4"/>
  <c r="F6" i="4" s="1"/>
  <c r="G6" i="4" s="1"/>
  <c r="F4" i="4"/>
  <c r="G4" i="4" s="1"/>
  <c r="E4" i="4"/>
  <c r="B24" i="3"/>
  <c r="B25" i="3" s="1"/>
  <c r="E46" i="4" s="1"/>
  <c r="F46" i="4" s="1"/>
  <c r="G46" i="4" s="1"/>
  <c r="B21" i="3"/>
  <c r="B20" i="3"/>
  <c r="B22" i="3" s="1"/>
  <c r="B16" i="3"/>
  <c r="B18" i="3" s="1"/>
  <c r="B14" i="3"/>
  <c r="E35" i="5" s="1"/>
  <c r="F35" i="5" s="1"/>
  <c r="G35" i="5" s="1"/>
  <c r="B13" i="3"/>
  <c r="B12" i="3"/>
  <c r="E42" i="4" s="1"/>
  <c r="F42" i="4" s="1"/>
  <c r="G42" i="4" s="1"/>
  <c r="B11" i="3"/>
  <c r="E34" i="5" s="1"/>
  <c r="F34" i="5" s="1"/>
  <c r="G34" i="5" s="1"/>
  <c r="B6" i="3"/>
  <c r="B7" i="3" s="1"/>
  <c r="B5" i="3"/>
  <c r="B4" i="3"/>
  <c r="B9" i="3" l="1"/>
  <c r="B8" i="3"/>
  <c r="E26" i="5"/>
  <c r="F26" i="5" s="1"/>
  <c r="G26" i="5" s="1"/>
  <c r="E28" i="4"/>
  <c r="F28" i="4" s="1"/>
  <c r="G28" i="4" s="1"/>
  <c r="E30" i="4"/>
  <c r="F30" i="4" s="1"/>
  <c r="G30" i="4" s="1"/>
  <c r="E24" i="5"/>
  <c r="F24" i="5" s="1"/>
  <c r="G24" i="5" s="1"/>
  <c r="C14" i="6"/>
  <c r="C11" i="6"/>
  <c r="F7" i="7"/>
  <c r="F15" i="8"/>
  <c r="B17" i="3"/>
  <c r="D15" i="9"/>
  <c r="B15" i="9"/>
  <c r="C16" i="6"/>
  <c r="C6" i="6"/>
  <c r="D4" i="12"/>
  <c r="C9" i="6"/>
  <c r="C17" i="6"/>
  <c r="D3" i="8"/>
  <c r="E40" i="4"/>
  <c r="F40" i="4" s="1"/>
  <c r="G40" i="4" s="1"/>
  <c r="E38" i="4"/>
  <c r="F38" i="4" s="1"/>
  <c r="G38" i="4" s="1"/>
  <c r="E6" i="9" l="1"/>
  <c r="G7" i="7"/>
  <c r="F6" i="9" s="1"/>
  <c r="D8" i="8"/>
  <c r="E8" i="8" s="1"/>
  <c r="F8" i="8" s="1"/>
  <c r="D9" i="8"/>
  <c r="B5" i="6"/>
  <c r="E29" i="4"/>
  <c r="F29" i="4" s="1"/>
  <c r="G29" i="4" s="1"/>
  <c r="B4" i="6"/>
  <c r="E25" i="5"/>
  <c r="F25" i="5" s="1"/>
  <c r="G25" i="5" s="1"/>
  <c r="E23" i="5"/>
  <c r="F23" i="5" s="1"/>
  <c r="G23" i="5" s="1"/>
  <c r="B3" i="6"/>
  <c r="E27" i="4"/>
  <c r="F27" i="4" s="1"/>
  <c r="G27" i="4" s="1"/>
  <c r="E3" i="8"/>
  <c r="E5" i="4"/>
  <c r="F5" i="4" s="1"/>
  <c r="E4" i="5"/>
  <c r="F4" i="5" s="1"/>
  <c r="F52" i="5" l="1"/>
  <c r="G4" i="5"/>
  <c r="G5" i="4"/>
  <c r="F63" i="4"/>
  <c r="F3" i="8"/>
  <c r="E9" i="8"/>
  <c r="C4" i="6"/>
  <c r="D4" i="6"/>
  <c r="D5" i="6"/>
  <c r="C5" i="6"/>
  <c r="B20" i="6"/>
  <c r="D3" i="6"/>
  <c r="C3" i="6"/>
  <c r="F15" i="9"/>
  <c r="C11" i="11" l="1"/>
  <c r="E11" i="8"/>
  <c r="E10" i="8"/>
  <c r="F9" i="8"/>
  <c r="G63" i="4"/>
  <c r="B3" i="10"/>
  <c r="D3" i="10" s="1"/>
  <c r="F65" i="4"/>
  <c r="G65" i="4" s="1"/>
  <c r="F64" i="4"/>
  <c r="G64" i="4" s="1"/>
  <c r="B22" i="6"/>
  <c r="C22" i="6" s="1"/>
  <c r="C20" i="6"/>
  <c r="D13" i="6"/>
  <c r="D12" i="6"/>
  <c r="D18" i="6"/>
  <c r="D11" i="6"/>
  <c r="D14" i="6"/>
  <c r="D9" i="6"/>
  <c r="D17" i="6"/>
  <c r="D6" i="6"/>
  <c r="D15" i="6"/>
  <c r="D16" i="6"/>
  <c r="D19" i="6"/>
  <c r="D10" i="6"/>
  <c r="D7" i="6"/>
  <c r="D8" i="6"/>
  <c r="F53" i="5"/>
  <c r="G53" i="5" s="1"/>
  <c r="C3" i="10"/>
  <c r="G52" i="5"/>
  <c r="E3" i="10" l="1"/>
  <c r="F66" i="4"/>
  <c r="F54" i="5"/>
  <c r="G54" i="5" s="1"/>
  <c r="B16" i="8"/>
  <c r="B17" i="8" s="1"/>
  <c r="C16" i="8"/>
  <c r="C17" i="8" s="1"/>
  <c r="E16" i="8"/>
  <c r="E17" i="8" s="1"/>
  <c r="D16" i="8"/>
  <c r="D17" i="8" s="1"/>
  <c r="F16" i="8"/>
  <c r="F17" i="8" s="1"/>
  <c r="F55" i="5"/>
  <c r="C18" i="8" l="1"/>
  <c r="C19" i="8"/>
  <c r="C3" i="9" s="1"/>
  <c r="E18" i="8"/>
  <c r="E19" i="8"/>
  <c r="E3" i="9" s="1"/>
  <c r="B18" i="8"/>
  <c r="B19" i="8"/>
  <c r="B3" i="9" s="1"/>
  <c r="B4" i="10"/>
  <c r="D4" i="10" s="1"/>
  <c r="G66" i="4"/>
  <c r="B4" i="7"/>
  <c r="D18" i="8"/>
  <c r="D19" i="8"/>
  <c r="D3" i="9" s="1"/>
  <c r="C4" i="10"/>
  <c r="G55" i="5"/>
  <c r="B5" i="7"/>
  <c r="C5" i="7" s="1"/>
  <c r="D5" i="7" s="1"/>
  <c r="E5" i="7" s="1"/>
  <c r="F18" i="8"/>
  <c r="F19" i="8" s="1"/>
  <c r="F3" i="9" s="1"/>
  <c r="E4" i="10" l="1"/>
  <c r="D9" i="10"/>
  <c r="E9" i="10" s="1"/>
  <c r="F5" i="7"/>
  <c r="G5" i="7" s="1"/>
  <c r="C6" i="10" s="1"/>
  <c r="C5" i="10"/>
  <c r="F13" i="9"/>
  <c r="D13" i="9"/>
  <c r="B13" i="9"/>
  <c r="B6" i="7"/>
  <c r="C4" i="7"/>
  <c r="C6" i="7" l="1"/>
  <c r="D4" i="7"/>
  <c r="E4" i="7" l="1"/>
  <c r="D6" i="7"/>
  <c r="B5" i="9"/>
  <c r="C11" i="7"/>
  <c r="B11" i="12" l="1"/>
  <c r="B14" i="12" s="1"/>
  <c r="B15" i="12" s="1"/>
  <c r="C12" i="7"/>
  <c r="B14" i="9"/>
  <c r="B9" i="9"/>
  <c r="B10" i="9" s="1"/>
  <c r="B7" i="9"/>
  <c r="C5" i="9"/>
  <c r="D11" i="7"/>
  <c r="D12" i="7" s="1"/>
  <c r="B5" i="10"/>
  <c r="D5" i="10" s="1"/>
  <c r="E5" i="10" s="1"/>
  <c r="F4" i="7"/>
  <c r="E6" i="7"/>
  <c r="G11" i="11" l="1"/>
  <c r="B8" i="9"/>
  <c r="D5" i="9"/>
  <c r="E11" i="7"/>
  <c r="E12" i="7" s="1"/>
  <c r="C9" i="9"/>
  <c r="C10" i="9" s="1"/>
  <c r="C7" i="9"/>
  <c r="C8" i="9" s="1"/>
  <c r="D14" i="9"/>
  <c r="G4" i="7"/>
  <c r="F6" i="7"/>
  <c r="D7" i="9" l="1"/>
  <c r="D8" i="9" s="1"/>
  <c r="D9" i="9"/>
  <c r="D10" i="9" s="1"/>
  <c r="E5" i="9"/>
  <c r="F11" i="7"/>
  <c r="F12" i="7" s="1"/>
  <c r="B6" i="10"/>
  <c r="D6" i="10" s="1"/>
  <c r="E6" i="10" s="1"/>
  <c r="G6" i="7"/>
  <c r="F5" i="9" l="1"/>
  <c r="G11" i="7"/>
  <c r="G12" i="7" s="1"/>
  <c r="E9" i="9"/>
  <c r="E10" i="9" s="1"/>
  <c r="E7" i="9"/>
  <c r="E8" i="9" s="1"/>
  <c r="F9" i="9" l="1"/>
  <c r="F10" i="9" s="1"/>
  <c r="F7" i="9"/>
  <c r="F8" i="9" s="1"/>
  <c r="F14" i="9"/>
</calcChain>
</file>

<file path=xl/sharedStrings.xml><?xml version="1.0" encoding="utf-8"?>
<sst xmlns="http://schemas.openxmlformats.org/spreadsheetml/2006/main" count="819" uniqueCount="696">
  <si>
    <t>ADAM + NetStreamX — Cloud Cost &amp; Revenue Model v1.1</t>
  </si>
  <si>
    <t>SCENARIO</t>
  </si>
  <si>
    <t>Full production deployment of the ADAM framework (CORE Engine, 81-Agent Mesh, BOSS Scoring, Flight Recorder, Governance Plane) on top of the NetStreamX streaming workload — scaled to 1,000,000 subscribers and a 100,000-title UHD catalog (average 2-hour films in H.265/AV1).</t>
  </si>
  <si>
    <t>DEPLOYMENT ARCHITECTURE</t>
  </si>
  <si>
    <t>Azure West Europe PRIMARY (active) + AWS eu-west-1 STANDBY (30% warm) as per ADAM_MultiCloud_Azure_Primary_AWS_Standby_v2.0.drawio.  Active/active global edge; cross-cloud fabric via Megaport/Equinix; full services plane on both sides (Identity, Compute, AI/ML, Data, Messaging, Security).</t>
  </si>
  <si>
    <t>WHAT'S IN / WHAT'S OUT</t>
  </si>
  <si>
    <t>IN:  All Azure+AWS infrastructure, data, networking, AI/LLM tokens, observability, identity, origin+CDN, transcoding, recommendations, billing stack, DRM, and the ADAM governance overlay (Governor agents, CORE graph, Flight Recorder, BOSS, Policy Plane, Human Interface).
OUT:  Content licensing / original production (tracked as a separate P&amp;L line), marketing, labour &amp; G&amp;A, on-prem Azure Local ($62K-$206K one-time is noted but not carried in OpEx).</t>
  </si>
  <si>
    <t>PRICING BASIS</t>
  </si>
  <si>
    <t>Azure and AWS April 2026 published list prices (West Europe / eu-west-1), before Reserved Instance or Savings Plan commitments. Scenario sheets apply a realistic 25% blended RI/SP discount ('Current Pricing — Committed') and test a 'Future Pricing' scenario reflecting typical 8-12% annual unit-price deflation in compute+storage, partially offset by AI inference price drops.</t>
  </si>
  <si>
    <t>WORKBOOK MAP</t>
  </si>
  <si>
    <t>1. Assumptions           — every knob in one place (edit blue cells only)
2. Workload Sizing       — derives traffic PB/mo, storage PB, compute vCPU/GPU from subscriber + catalog figures
3. Azure Primary Cost    — ~35 line items across 8 service families
4. AWS Standby Cost      — 30% warm shape mirrored
5. ADAM Governance OpEx  — overlay cost attributable to ADAM itself (separable from streaming)
6. Consolidated OpEx     — totals, 1/3/5-year, unit cost per subscriber
7. Revenue Model         — four-tier pricing, mix, churn, growth
8. 5-Year P&amp;L            — cost vs revenue, margin, break-even
9. Pricing Scenarios     — Current list / Current committed / Future (3y) / Future (5y)
10. Competitive Bench    — Netflix, Disney+, Max, Paramount+, Apple TV+ on ARPU &amp; margin
11. Recommendations      — pricing per customer to sustain and grow the business</t>
  </si>
  <si>
    <t>MODEL CONVENTIONS</t>
  </si>
  <si>
    <t>- BLUE text  = hardcoded input (change me)
- BLACK text = formula
- GREEN text = cross-sheet link
- YELLOW fill = key assumption requiring your review
All prices in USD. All storage in binary (1 PB = 1,024 TB). All traffic in decimal (1 TB = 1,000 GB) as per CDN billing conventions.</t>
  </si>
  <si>
    <t>KEY NON-OBVIOUS ASSUMPTIONS</t>
  </si>
  <si>
    <t>1. CDN egress uses a $0.012/GB blended rate — this reflects private negotiation at PB-scale, NOT CloudFront list ($0.085/GB first 10TB).  At 1M subs you negotiate directly with 2+ CDN providers.
2. UHD bitrate is modelled at 15 Mbps using modern codec (AV1/HEVC) — not 25 Mbps of early UHD. Mix-weighted avg delivered bitrate = 7.3 Mbps.
3. ADAM AI/LLM token cost assumes GPT-4o-mini for ~85% of agent calls (cheap), GPT-4o for 15% (reasoning). 
4. 100K-title library occupies ~5 PB including 10-rung ABR ladder.
5. Flight Recorder retention = 7 years (WORM) per EU AI Act / DORA Article 28 evidence requirements.</t>
  </si>
  <si>
    <t>OWNER</t>
  </si>
  <si>
    <t>Michael — ADAM author.  Model version 1.0.  Built April 2026.</t>
  </si>
  <si>
    <t>Assumptions — Single Source of Truth (edit blue cells only)</t>
  </si>
  <si>
    <t>Assumption</t>
  </si>
  <si>
    <t>Value</t>
  </si>
  <si>
    <t>Units</t>
  </si>
  <si>
    <t>Notes / Source</t>
  </si>
  <si>
    <t>SUBSCRIBER &amp; CATALOG</t>
  </si>
  <si>
    <t>Subscribers (paid, launch)</t>
  </si>
  <si>
    <t>subs</t>
  </si>
  <si>
    <t>User request.</t>
  </si>
  <si>
    <t>Active-subscriber ratio (weekly)</t>
  </si>
  <si>
    <t>%</t>
  </si>
  <si>
    <t>Industry: Netflix ~70%, Max ~60%.</t>
  </si>
  <si>
    <t>Hours streamed / active sub / day</t>
  </si>
  <si>
    <t>hrs</t>
  </si>
  <si>
    <t>Netflix avg 2 hrs; Max 1.7 hrs.</t>
  </si>
  <si>
    <t>Video catalog (titles)</t>
  </si>
  <si>
    <t>titles</t>
  </si>
  <si>
    <t>Average title length</t>
  </si>
  <si>
    <t>User request (UHD film).</t>
  </si>
  <si>
    <t>Subscriber growth Y-o-Y</t>
  </si>
  <si>
    <t>Aggressive growth tier assumption (industry 6-10%).</t>
  </si>
  <si>
    <t>Annual gross churn</t>
  </si>
  <si>
    <t>SVOD average 28-35%; premium lower.</t>
  </si>
  <si>
    <t>ENCODING &amp; BITRATE</t>
  </si>
  <si>
    <t>UHD delivered bitrate</t>
  </si>
  <si>
    <t>Mbps</t>
  </si>
  <si>
    <t>AV1/HEVC 2026; was 25 Mbps on H.264.</t>
  </si>
  <si>
    <t>HD delivered bitrate</t>
  </si>
  <si>
    <t>AV1 720p/1080p.</t>
  </si>
  <si>
    <t>SD/Mobile delivered bitrate</t>
  </si>
  <si>
    <t>AV1 480p / mobile.</t>
  </si>
  <si>
    <t>% of viewing at UHD</t>
  </si>
  <si>
    <t>2026 mix; growing 3pp/yr.</t>
  </si>
  <si>
    <t>% of viewing at HD</t>
  </si>
  <si>
    <t>% of viewing at SD/Mobile</t>
  </si>
  <si>
    <t>Encoding cost per source hour</t>
  </si>
  <si>
    <t>$/hr</t>
  </si>
  <si>
    <t>AWS Elemental MediaConvert: $0.45/min UHD HDR ~ $27/hr UHD + 15/hr for HD/SD ladder. Blended.</t>
  </si>
  <si>
    <t>Catalog refresh (new titles / yr)</t>
  </si>
  <si>
    <t>8% new originals + licensed refresh / yr.</t>
  </si>
  <si>
    <t>ABR ladder renditions per title</t>
  </si>
  <si>
    <t>renditions</t>
  </si>
  <si>
    <t>UHD + 2xHD + 3xSD + 4xmobile.</t>
  </si>
  <si>
    <t>Storage per source UHD hour (master)</t>
  </si>
  <si>
    <t>GB</t>
  </si>
  <si>
    <t>ProRes-adjacent 4K HDR master.</t>
  </si>
  <si>
    <t>Storage per finished title (all renditions)</t>
  </si>
  <si>
    <t>Full ABR ladder, distribution copies.</t>
  </si>
  <si>
    <t>NETWORK / CDN</t>
  </si>
  <si>
    <t>Blended CDN price (negotiated)</t>
  </si>
  <si>
    <t>$/GB</t>
  </si>
  <si>
    <t>At 100+ PB/mo, Akamai/Fastly/Cloudflare deals land $0.008-$0.015.  NOT CloudFront list.</t>
  </si>
  <si>
    <t>On-net / peering share</t>
  </si>
  <si>
    <t>ISP peering offsets CDN at large scale (Netflix OpenConnect ~95%; new entrant ~25%).</t>
  </si>
  <si>
    <t>Origin-to-CDN egress ratio</t>
  </si>
  <si>
    <t>x</t>
  </si>
  <si>
    <t>CDN cache miss + re-fill factor vs. subscriber egress.</t>
  </si>
  <si>
    <t>AWS ExpressRoute / Direct Connect (each)</t>
  </si>
  <si>
    <t>$/mo</t>
  </si>
  <si>
    <t>10 Gbps Premium pair.</t>
  </si>
  <si>
    <t>Megaport / Equinix cross-cloud fabric</t>
  </si>
  <si>
    <t>10G cross-connect pair (redundant).</t>
  </si>
  <si>
    <t>ADAM GOVERNANCE OVERLAY</t>
  </si>
  <si>
    <t>81 agents decisions/day</t>
  </si>
  <si>
    <t>decisions</t>
  </si>
  <si>
    <t>81 agents × ~250K routine + 5K heavy decisions/day/agent.</t>
  </si>
  <si>
    <t>Avg tokens per decision (input)</t>
  </si>
  <si>
    <t>tokens</t>
  </si>
  <si>
    <t>Includes policy context, CORE graph snippet, BOSS prompt.</t>
  </si>
  <si>
    <t>Avg tokens per decision (output)</t>
  </si>
  <si>
    <t>Intent Object + justification.</t>
  </si>
  <si>
    <t>% routed to small model (GPT-4o-mini)</t>
  </si>
  <si>
    <t>Cost-optimized routing per agent role.</t>
  </si>
  <si>
    <t>% routed to reasoning model (GPT-4o)</t>
  </si>
  <si>
    <t>Governor + AI-Native agents.</t>
  </si>
  <si>
    <t>GPT-4o-mini input price</t>
  </si>
  <si>
    <t>$/M tok</t>
  </si>
  <si>
    <t>Azure OpenAI Apr 2026 list.</t>
  </si>
  <si>
    <t>GPT-4o-mini output price</t>
  </si>
  <si>
    <t>GPT-4o input price</t>
  </si>
  <si>
    <t>GPT-4o output price</t>
  </si>
  <si>
    <t>Flight Recorder retention</t>
  </si>
  <si>
    <t>years</t>
  </si>
  <si>
    <t>EU AI Act Art.12/DORA Art.28.</t>
  </si>
  <si>
    <t>Intent events per day</t>
  </si>
  <si>
    <t>events</t>
  </si>
  <si>
    <t>Every subscriber action + every agent action.</t>
  </si>
  <si>
    <t>Bytes per event</t>
  </si>
  <si>
    <t>bytes</t>
  </si>
  <si>
    <t>Schema-compressed JSON.</t>
  </si>
  <si>
    <t>COMMERCIAL / SCENARIOS</t>
  </si>
  <si>
    <t>RI / Savings Plan blended discount</t>
  </si>
  <si>
    <t>3-yr convertible mix.</t>
  </si>
  <si>
    <t>Enterprise Agreement (EA) discount</t>
  </si>
  <si>
    <t>Typical MS EA at Fortune 500 volume.</t>
  </si>
  <si>
    <t>Annual unit price deflation (compute/storage)</t>
  </si>
  <si>
    <t>Azure/AWS historical 8-10%/yr.</t>
  </si>
  <si>
    <t>Annual AI inference price deflation</t>
  </si>
  <si>
    <t>GPT-4o→GPT-5: tokens cheap fast.</t>
  </si>
  <si>
    <t>REVENUE</t>
  </si>
  <si>
    <t>Price — Basic (HD, 1 stream)</t>
  </si>
  <si>
    <t>Competitive with ad-free entry.</t>
  </si>
  <si>
    <t>Price — Standard (HD, 2 streams)</t>
  </si>
  <si>
    <t>Core tier.</t>
  </si>
  <si>
    <t>Price — Premium (UHD, 4 streams)</t>
  </si>
  <si>
    <t>UHD + Dolby Atmos.</t>
  </si>
  <si>
    <t>Price — Premium Plus (UHD + downloads + extras)</t>
  </si>
  <si>
    <t>Top tier with bundled IP.</t>
  </si>
  <si>
    <t>Price — Ad-supported (HD)</t>
  </si>
  <si>
    <t>Entry tier; monetized via ads.</t>
  </si>
  <si>
    <t>Ad revenue per ad-supported user / mo</t>
  </si>
  <si>
    <t>$12 eCPM @ 4 hrs × 8 ads/hr.</t>
  </si>
  <si>
    <t>Mix — Ad-supported</t>
  </si>
  <si>
    <t>Mix — Basic</t>
  </si>
  <si>
    <t>Mix — Standard</t>
  </si>
  <si>
    <t>Mix — Premium</t>
  </si>
  <si>
    <t>Mix — Premium Plus</t>
  </si>
  <si>
    <t>Payment processing fee</t>
  </si>
  <si>
    <t>2.8% blended Stripe/Adyen incl. FX.</t>
  </si>
  <si>
    <t>CONTENT P&amp;L (for reference, excluded from cloud opex)</t>
  </si>
  <si>
    <t>Content amortization per sub / month</t>
  </si>
  <si>
    <t>$/sub/mo</t>
  </si>
  <si>
    <t>Mid-tier streamer; Netflix ~$10, Max ~$8, Paramount ~$5.</t>
  </si>
  <si>
    <t>Workload Sizing — derives traffic / storage / compute from assumptions</t>
  </si>
  <si>
    <t>Metric</t>
  </si>
  <si>
    <t>Formula / Notes</t>
  </si>
  <si>
    <t>STREAMING TRAFFIC (per month)</t>
  </si>
  <si>
    <t>Weighted avg delivered bitrate</t>
  </si>
  <si>
    <t>UHD×%UHD + HD×%HD + SD×%SD</t>
  </si>
  <si>
    <t>Daily active subscribers</t>
  </si>
  <si>
    <t>Approx DAU (weekly active ≈ daily active × 7/7 for heavy streamers)</t>
  </si>
  <si>
    <t>Monthly viewing hours (total)</t>
  </si>
  <si>
    <t>hrs/mo</t>
  </si>
  <si>
    <t>Formula: DAU × hrs/day × 30</t>
  </si>
  <si>
    <t>Monthly subscriber egress</t>
  </si>
  <si>
    <t>PB</t>
  </si>
  <si>
    <t>Formula: hrs × Mbps × 3600s / 8 bits / 1024^3 (MB→PB binary)</t>
  </si>
  <si>
    <t>CDN cache-fill traffic (origin→edge)</t>
  </si>
  <si>
    <t>Incremental PB vs user egress — origin→CDN refills</t>
  </si>
  <si>
    <t>Billable CDN egress (post-peering)</t>
  </si>
  <si>
    <t>What you actually pay CDN providers for</t>
  </si>
  <si>
    <t>STORAGE FOOTPRINT</t>
  </si>
  <si>
    <t>Total finished library (all renditions)</t>
  </si>
  <si>
    <t>Formula: titles × GB/title / 1,048,576</t>
  </si>
  <si>
    <t>Master source library</t>
  </si>
  <si>
    <t>Formula: titles × hrs × GB/hr / 1,048,576</t>
  </si>
  <si>
    <t>Archive / cold tier (10-year vault)</t>
  </si>
  <si>
    <t>Master copies × 3 (geo-redundant archive)</t>
  </si>
  <si>
    <t>Flight Recorder evidence (7-yr WORM)</t>
  </si>
  <si>
    <t>Formula: events/day × bytes × 365 × 7 / 1024^5 (bytes→PB binary)</t>
  </si>
  <si>
    <t>ADAM AI / LLM TOKENS</t>
  </si>
  <si>
    <t>Decisions per month</t>
  </si>
  <si>
    <t>Input tokens / month</t>
  </si>
  <si>
    <t>tokens/mo</t>
  </si>
  <si>
    <t>Output tokens / month</t>
  </si>
  <si>
    <t>COMPUTE — ADAM reference sizing (from book)</t>
  </si>
  <si>
    <t>AKS primary vCPU (system+governance+workgroup+twin)</t>
  </si>
  <si>
    <t>vCPU</t>
  </si>
  <si>
    <t>From ADAM Reference Architecture (3,180 vCPU / 12,720 GB RAM / 42 GPU).</t>
  </si>
  <si>
    <t>GPU (H100/A100 equivalents)</t>
  </si>
  <si>
    <t>Digital Twin + Governor inference pool.</t>
  </si>
  <si>
    <t>EKS standby vCPU (30% warm)</t>
  </si>
  <si>
    <t>30% warm shape per DR policy.</t>
  </si>
  <si>
    <t>TRANSCODING / ENCODING</t>
  </si>
  <si>
    <t>New encoding hours / year</t>
  </si>
  <si>
    <t>Formula: new titles/yr × hrs (annual figure)</t>
  </si>
  <si>
    <t>New encoding hours / month</t>
  </si>
  <si>
    <t>Azure Primary Region (West Europe) — Monthly Cost Build-Up</t>
  </si>
  <si>
    <t>Service</t>
  </si>
  <si>
    <t>Configuration</t>
  </si>
  <si>
    <t>Unit</t>
  </si>
  <si>
    <t>Unit Price ($)</t>
  </si>
  <si>
    <t>Quantity</t>
  </si>
  <si>
    <t>Monthly Cost ($)</t>
  </si>
  <si>
    <t>Annual Cost ($)</t>
  </si>
  <si>
    <t>GLOBAL EDGE — Traffic Manager, Front Door, WAF, CloudFront</t>
  </si>
  <si>
    <t>Azure Traffic Manager</t>
  </si>
  <si>
    <t>Priority + weighted GSLB (global)</t>
  </si>
  <si>
    <t>per 1M queries</t>
  </si>
  <si>
    <t>Azure list Apr 2026 — $0.54 per 1M DNS queries; 100M/day baseline × 30 days × 1k (queries unit is M).</t>
  </si>
  <si>
    <t>Azure Front Door Premium</t>
  </si>
  <si>
    <t>Standard tier; global anycast + WAF</t>
  </si>
  <si>
    <t>per GB</t>
  </si>
  <si>
    <t>15% of user egress served by Front Door; balance by external CDN. Azure AFD Prem: $0.019/GB.</t>
  </si>
  <si>
    <t>Azure Front Door requests</t>
  </si>
  <si>
    <t>Standard tier</t>
  </si>
  <si>
    <t>per 1M req</t>
  </si>
  <si>
    <t>90B requests/mo = 90,000 M. API+manifest+segment.</t>
  </si>
  <si>
    <t>Azure WAF rule processing</t>
  </si>
  <si>
    <t>WAF Premium</t>
  </si>
  <si>
    <t>WAF incl. bot/managed rulesets.</t>
  </si>
  <si>
    <t>NETWORK FABRIC — ExpressRoute, Peering, NAT</t>
  </si>
  <si>
    <t>ExpressRoute 10Gbps Premium</t>
  </si>
  <si>
    <t>Primary pair (redundant)</t>
  </si>
  <si>
    <t>circuit-pair/mo</t>
  </si>
  <si>
    <t>10 Gbps Premium unlimited global reach; $4-8K/mo each.</t>
  </si>
  <si>
    <t>Megaport cross-cloud fabric</t>
  </si>
  <si>
    <t>10G redundant</t>
  </si>
  <si>
    <t>x-conn-pair/mo</t>
  </si>
  <si>
    <t>To AWS eu-west-1 for cross-cloud sync.</t>
  </si>
  <si>
    <t>VNet inter-region replication</t>
  </si>
  <si>
    <t>Paired region geo-redundancy</t>
  </si>
  <si>
    <t>50 TB/mo cross-region (Cosmos geo, Blob RA-GRS).</t>
  </si>
  <si>
    <t>NAT Gateway</t>
  </si>
  <si>
    <t>3 AZ</t>
  </si>
  <si>
    <t>hour</t>
  </si>
  <si>
    <t>3 gateways × 730 hr.</t>
  </si>
  <si>
    <t>IDENTITY &amp; ACCESS — Entra ID, PIM, Defender</t>
  </si>
  <si>
    <t>Microsoft Entra ID P2</t>
  </si>
  <si>
    <t>Employees + partners</t>
  </si>
  <si>
    <t>user/mo</t>
  </si>
  <si>
    <t>800 internal + partner accounts.</t>
  </si>
  <si>
    <t>Entra External ID (customer)</t>
  </si>
  <si>
    <t>B2C authn, 1M MAU</t>
  </si>
  <si>
    <t>per MAU</t>
  </si>
  <si>
    <t>Weekly active subs as MAU. $0.00325/MAU after 50K free.</t>
  </si>
  <si>
    <t>Key Vault Premium (HSM)</t>
  </si>
  <si>
    <t>Managed HSM</t>
  </si>
  <si>
    <t>HSM/mo</t>
  </si>
  <si>
    <t>2 HSM pools (multi-AZ).</t>
  </si>
  <si>
    <t>Key Vault operations</t>
  </si>
  <si>
    <t>HSM key ops</t>
  </si>
  <si>
    <t>per 10K ops</t>
  </si>
  <si>
    <t>5B ops/mo (intent signing).</t>
  </si>
  <si>
    <t>Confidential Ledger</t>
  </si>
  <si>
    <t>3-replica transparency ledger</t>
  </si>
  <si>
    <t>per write</t>
  </si>
  <si>
    <t>9B writes/mo from Flight Recorder attestation.</t>
  </si>
  <si>
    <t>COMPUTE — AKS, Functions, App Services</t>
  </si>
  <si>
    <t>AKS — E32s v5 (Governance/Twin)</t>
  </si>
  <si>
    <t>6× E32s v5 × 730h</t>
  </si>
  <si>
    <t>node-mo</t>
  </si>
  <si>
    <t>E32s v5 = $2.30/hr × 730 = $1,679/mo. Governance plane.</t>
  </si>
  <si>
    <t>AKS — D16s v5 (Work-Group mesh)</t>
  </si>
  <si>
    <t>40× D16s v5 × 730h</t>
  </si>
  <si>
    <t>D16s v5 = $0.80/hr × 730 = $583/mo. 81 agents workgroup.</t>
  </si>
  <si>
    <t>AKS — A100 GPU pool (Governor)</t>
  </si>
  <si>
    <t>5× NC24ads A100 v4 × 730h</t>
  </si>
  <si>
    <t>NC24ads A100 v4 = $7.52/hr × 730 = $5,489/mo.</t>
  </si>
  <si>
    <t>AKS — H100 GPU pool (Digital Twin)</t>
  </si>
  <si>
    <t>8× NC48ads H100 v5 × 730h</t>
  </si>
  <si>
    <t>NC48ads H100 v5 $24/hr × 730 = $17,520/mo.</t>
  </si>
  <si>
    <t>Azure Functions (Premium)</t>
  </si>
  <si>
    <t>EP3 × 4 plans</t>
  </si>
  <si>
    <t>plan-mo</t>
  </si>
  <si>
    <t>Intent Object pipeline stage handlers.</t>
  </si>
  <si>
    <t>App Service Premium v3</t>
  </si>
  <si>
    <t>P2v3 × 8 (web frontends)</t>
  </si>
  <si>
    <t>Portal, admin, hi-explain UI.</t>
  </si>
  <si>
    <t>AI / ML — Azure OpenAI, AI Search, ML</t>
  </si>
  <si>
    <t>Azure OpenAI GPT-4o-mini input</t>
  </si>
  <si>
    <t>85% routing</t>
  </si>
  <si>
    <t>per 1M tok</t>
  </si>
  <si>
    <t>In millions.</t>
  </si>
  <si>
    <t>Azure OpenAI GPT-4o-mini output</t>
  </si>
  <si>
    <t>Azure OpenAI GPT-4o input</t>
  </si>
  <si>
    <t>15% routing (reasoning)</t>
  </si>
  <si>
    <t>Azure OpenAI GPT-4o output</t>
  </si>
  <si>
    <t>15% routing</t>
  </si>
  <si>
    <t>Azure OpenAI embeddings</t>
  </si>
  <si>
    <t>text-embedding-3-large</t>
  </si>
  <si>
    <t>500M tokens/mo across CORE/RAG indexing.</t>
  </si>
  <si>
    <t>Azure AI Search — Standard S3</t>
  </si>
  <si>
    <t>Vector + semantic, 3 replicas</t>
  </si>
  <si>
    <t>unit-mo</t>
  </si>
  <si>
    <t>S3 unit for large RAG / CORE graph annotations.</t>
  </si>
  <si>
    <t>Azure ML compute (training)</t>
  </si>
  <si>
    <t>NC24ads A100 v4 × 500 hr/mo</t>
  </si>
  <si>
    <t>Twin model retraining, recommender.</t>
  </si>
  <si>
    <t>DATA — Cosmos, ADX, Blob, SQL</t>
  </si>
  <si>
    <t>Cosmos DB Gremlin (CORE graph)</t>
  </si>
  <si>
    <t>Autoscale 300K RU/s, 2-region</t>
  </si>
  <si>
    <t>RU-hr</t>
  </si>
  <si>
    <t>Gremlin autoscale $0.0016/100 RU/s × 10% avg utilization × 2 regions.</t>
  </si>
  <si>
    <t>Cosmos DB storage</t>
  </si>
  <si>
    <t>Graph data</t>
  </si>
  <si>
    <t>per GB-mo</t>
  </si>
  <si>
    <t>8 TB graph data (CORE DNA × 4 years of evolution).</t>
  </si>
  <si>
    <t>Azure Data Explorer (Flight Rec hot)</t>
  </si>
  <si>
    <t>4× D14v2 + shuffle</t>
  </si>
  <si>
    <t>Hot-tier for last 90 days of Flight Recorder events.</t>
  </si>
  <si>
    <t>Blob Storage Hot (Flight Recorder WORM)</t>
  </si>
  <si>
    <t>ZRS, immutability</t>
  </si>
  <si>
    <t>10% of 7yr evidence in hot.</t>
  </si>
  <si>
    <t>Blob Storage Cool (Flight Recorder WORM)</t>
  </si>
  <si>
    <t>ZRS immutable</t>
  </si>
  <si>
    <t>30% in cool.</t>
  </si>
  <si>
    <t>Blob Storage Archive (WORM)</t>
  </si>
  <si>
    <t>7-yr compliance</t>
  </si>
  <si>
    <t>60% in archive.</t>
  </si>
  <si>
    <t>Blob — Video Library (finished)</t>
  </si>
  <si>
    <t>Hot, geo-redundant</t>
  </si>
  <si>
    <t>Full distribution library (hot).</t>
  </si>
  <si>
    <t>Blob — Masters (cool)</t>
  </si>
  <si>
    <t>Video masters</t>
  </si>
  <si>
    <t>Master camera negatives.</t>
  </si>
  <si>
    <t>Blob — Long archive (archive tier)</t>
  </si>
  <si>
    <t>10-yr vault</t>
  </si>
  <si>
    <t>Geo-redundant 10-yr vault.</t>
  </si>
  <si>
    <t>Azure SQL Hyperscale — Business</t>
  </si>
  <si>
    <t>2× GPv5 24vCore</t>
  </si>
  <si>
    <t>vCore-mo</t>
  </si>
  <si>
    <t>Billing + subscriber + entitlements.</t>
  </si>
  <si>
    <t>STREAMING PLATFORM SERVICES</t>
  </si>
  <si>
    <t>Azure Media Services (encoding)</t>
  </si>
  <si>
    <t>AV1/HEVC UHD ladder</t>
  </si>
  <si>
    <t>per source hour</t>
  </si>
  <si>
    <t>Blended encoder cost per master hour.</t>
  </si>
  <si>
    <t>Live origin (packaging/manifest)</t>
  </si>
  <si>
    <t>AKS custom origin</t>
  </si>
  <si>
    <t>12× D16s v5 clustered origin.</t>
  </si>
  <si>
    <t>DRM (PlayReady/Widevine/FairPlay)</t>
  </si>
  <si>
    <t>3-DRM multi-license</t>
  </si>
  <si>
    <t>per license</t>
  </si>
  <si>
    <t>3 DRM licenses × play session hrs.</t>
  </si>
  <si>
    <t>Subscriber metadata + recommender</t>
  </si>
  <si>
    <t>Cosmos DB SQL API</t>
  </si>
  <si>
    <t>1.5M RU/s avg for subscriber profiles + watch history.</t>
  </si>
  <si>
    <t>SECURITY &amp; OBSERVABILITY — Sentinel, Monitor, Defender</t>
  </si>
  <si>
    <t>Microsoft Sentinel (ingestion)</t>
  </si>
  <si>
    <t>Analytics + Basic Logs</t>
  </si>
  <si>
    <t>300 TB/mo ingested (AKS + guardrails).</t>
  </si>
  <si>
    <t>Azure Monitor — Log Analytics</t>
  </si>
  <si>
    <t>Operational telemetry</t>
  </si>
  <si>
    <t>120 TB/mo application logs.</t>
  </si>
  <si>
    <t>Application Insights</t>
  </si>
  <si>
    <t>Distributed tracing</t>
  </si>
  <si>
    <t>45 TB/mo traces.</t>
  </si>
  <si>
    <t>Defender for Cloud (CSPM + XDR)</t>
  </si>
  <si>
    <t>Standard across RGs</t>
  </si>
  <si>
    <t>resource-mo</t>
  </si>
  <si>
    <t>1,500 billable resources.</t>
  </si>
  <si>
    <t>MESSAGING / STREAMS</t>
  </si>
  <si>
    <t>Event Hubs — Premium</t>
  </si>
  <si>
    <t>PU-hours</t>
  </si>
  <si>
    <t>PU-hr</t>
  </si>
  <si>
    <t>4 Premium units (Intent stream backbone).</t>
  </si>
  <si>
    <t>Service Bus Premium</t>
  </si>
  <si>
    <t>8 MU pair (HA)</t>
  </si>
  <si>
    <t>MU-mo</t>
  </si>
  <si>
    <t>Intent + Exception + Evidence queues.</t>
  </si>
  <si>
    <t>Event Grid</t>
  </si>
  <si>
    <t>Eventing fan-out</t>
  </si>
  <si>
    <t>per 1M ops</t>
  </si>
  <si>
    <t>9B ops/mo.</t>
  </si>
  <si>
    <t>Azure Storage Queues</t>
  </si>
  <si>
    <t>Low-cost work queues</t>
  </si>
  <si>
    <t>per 1M tx</t>
  </si>
  <si>
    <t>25B transactions/mo.</t>
  </si>
  <si>
    <t>POLICY &amp; ORCHESTRATION</t>
  </si>
  <si>
    <t>Azure Policy (initiatives at scale)</t>
  </si>
  <si>
    <t>Premium eval</t>
  </si>
  <si>
    <t>per 1M evals</t>
  </si>
  <si>
    <t>OPA fallback is inside AKS; this is Azure-native policy evals at guardrail boundary. 100k eval/sec × 86400 × 30 / 1M.</t>
  </si>
  <si>
    <t>API Management — Premium</t>
  </si>
  <si>
    <t>4-unit multi-region</t>
  </si>
  <si>
    <t>Consumer + partner APIs.</t>
  </si>
  <si>
    <t>AZURE PRIMARY — SUBTOTAL (monthly, list price)</t>
  </si>
  <si>
    <t xml:space="preserve">  Less: Microsoft EA discount</t>
  </si>
  <si>
    <t xml:space="preserve">  Less: Reserved Instance / Savings Plan (3yr)</t>
  </si>
  <si>
    <t>AZURE PRIMARY — COMMITTED TOTAL (post-discount)</t>
  </si>
  <si>
    <t>AWS Standby Region (eu-west-1) — 30% warm DR shape</t>
  </si>
  <si>
    <t>EDGE — CloudFront + Global Accelerator + Route 53 + WAFv2</t>
  </si>
  <si>
    <t>AWS CloudFront (bulk egress)</t>
  </si>
  <si>
    <t>Primary CDN for streaming</t>
  </si>
  <si>
    <t>85% of billable CDN egress routed via CloudFront (negotiated rate).</t>
  </si>
  <si>
    <t>CloudFront requests (HTTPS)</t>
  </si>
  <si>
    <t>Manifest + segment</t>
  </si>
  <si>
    <t>per 10K</t>
  </si>
  <si>
    <t>90B HTTPS requests/mo / 10K unit.</t>
  </si>
  <si>
    <t>AWS WAFv2</t>
  </si>
  <si>
    <t>CloudFront WebACL</t>
  </si>
  <si>
    <t>AWS Global Accelerator</t>
  </si>
  <si>
    <t>Anycast IP failover</t>
  </si>
  <si>
    <t>accelerator-mo</t>
  </si>
  <si>
    <t>2 accelerators.</t>
  </si>
  <si>
    <t>Route 53 — Hosted Zone</t>
  </si>
  <si>
    <t>Health-checked DNS</t>
  </si>
  <si>
    <t>zone-mo</t>
  </si>
  <si>
    <t>12 zones.</t>
  </si>
  <si>
    <t>Route 53 queries</t>
  </si>
  <si>
    <t>Global</t>
  </si>
  <si>
    <t>per 1M q</t>
  </si>
  <si>
    <t>4.5B queries/mo.</t>
  </si>
  <si>
    <t>IDENTITY &amp; KEYS — IAM, IdC, Cognito, CloudHSM</t>
  </si>
  <si>
    <t>CloudHSM</t>
  </si>
  <si>
    <t>2× cluster</t>
  </si>
  <si>
    <t>HSM-hour</t>
  </si>
  <si>
    <t>FIPS 140-2 L3 dedicated.</t>
  </si>
  <si>
    <t>AWS IAM Identity Center (SSO)</t>
  </si>
  <si>
    <t>Free-tier — N/A</t>
  </si>
  <si>
    <t>included</t>
  </si>
  <si>
    <t>IdC is free.</t>
  </si>
  <si>
    <t>Amazon Cognito</t>
  </si>
  <si>
    <t>Customer identity, 10% active failover</t>
  </si>
  <si>
    <t>10% MAU as failover.</t>
  </si>
  <si>
    <t>COMPUTE — EKS + Lambda + App Runner</t>
  </si>
  <si>
    <t>EKS cluster fees</t>
  </si>
  <si>
    <t>2× clusters</t>
  </si>
  <si>
    <t>cluster-mo</t>
  </si>
  <si>
    <t>$0.10/hr × 2 × 730.</t>
  </si>
  <si>
    <t>EKS — m5.4xlarge (general)</t>
  </si>
  <si>
    <t>20× × 730h (30% warm)</t>
  </si>
  <si>
    <t>m5.4xlarge EU-West-1 $0.764/hr × 730.</t>
  </si>
  <si>
    <t>EKS — c5.9xlarge (compute tier)</t>
  </si>
  <si>
    <t>10× × 730h</t>
  </si>
  <si>
    <t>c5.9xlarge $1.71/hr × 730.</t>
  </si>
  <si>
    <t>EKS — p4d.24xlarge (GPU standby)</t>
  </si>
  <si>
    <t>2× × 730h</t>
  </si>
  <si>
    <t>8×A100 GPU node for Governor failover.</t>
  </si>
  <si>
    <t>AWS Lambda</t>
  </si>
  <si>
    <t>Function handlers</t>
  </si>
  <si>
    <t>2B invocations/mo.</t>
  </si>
  <si>
    <t>AWS Fargate</t>
  </si>
  <si>
    <t>Fallback container runtime</t>
  </si>
  <si>
    <t>vCPU-hr</t>
  </si>
  <si>
    <t>Application Load Balancer</t>
  </si>
  <si>
    <t>4× multi-AZ</t>
  </si>
  <si>
    <t>LCU-hr</t>
  </si>
  <si>
    <t>AI/ML — Bedrock, Kendra, SageMaker</t>
  </si>
  <si>
    <t>AWS Bedrock — Claude Haiku (standby)</t>
  </si>
  <si>
    <t>Small model 30% shadow</t>
  </si>
  <si>
    <t>per 1M tok in</t>
  </si>
  <si>
    <t>30% shadow traffic to AWS for DR validation.</t>
  </si>
  <si>
    <t>AWS Bedrock — Claude Haiku output</t>
  </si>
  <si>
    <t>per 1M tok out</t>
  </si>
  <si>
    <t>AWS Bedrock — Claude Sonnet (standby)</t>
  </si>
  <si>
    <t>Large model 30% shadow</t>
  </si>
  <si>
    <t>AWS Bedrock — Claude Sonnet output</t>
  </si>
  <si>
    <t>Amazon Kendra — Enterprise</t>
  </si>
  <si>
    <t>Fallback RAG</t>
  </si>
  <si>
    <t>index-mo</t>
  </si>
  <si>
    <t>$1.40/hr × 730 per index.</t>
  </si>
  <si>
    <t>SageMaker endpoints (recommender)</t>
  </si>
  <si>
    <t>ml.g5.4xlarge × 4</t>
  </si>
  <si>
    <t>GPU endpoints for recommender failover.</t>
  </si>
  <si>
    <t>DATA — Neptune + Timestream + S3 Object Lock + QLDB</t>
  </si>
  <si>
    <t>Neptune — db.r5.8xlarge</t>
  </si>
  <si>
    <t>CORE graph replica</t>
  </si>
  <si>
    <t>3 readers.</t>
  </si>
  <si>
    <t>Neptune storage</t>
  </si>
  <si>
    <t>Amazon Timestream — memory store</t>
  </si>
  <si>
    <t>Flight Recorder hot replica</t>
  </si>
  <si>
    <t>5 TB hot tier.</t>
  </si>
  <si>
    <t>Amazon Timestream — magnetic store</t>
  </si>
  <si>
    <t>100 TB magnetic.</t>
  </si>
  <si>
    <t>S3 Standard — video library replica</t>
  </si>
  <si>
    <t>Geo-redundant, 30% warm</t>
  </si>
  <si>
    <t>30% warm replica.</t>
  </si>
  <si>
    <t>S3 Intelligent-Tiering — evidence</t>
  </si>
  <si>
    <t>Flight Recorder backup</t>
  </si>
  <si>
    <t>30% replicated.</t>
  </si>
  <si>
    <t>S3 Glacier Deep Archive — masters</t>
  </si>
  <si>
    <t>10yr vault mirror</t>
  </si>
  <si>
    <t>Full master mirror.</t>
  </si>
  <si>
    <t>QLDB — ledger</t>
  </si>
  <si>
    <t>Crypto ledger replica</t>
  </si>
  <si>
    <t>per million writes</t>
  </si>
  <si>
    <t>900M writes/mo (30% shadow).</t>
  </si>
  <si>
    <t>MESSAGING — MSK, SQS, EventBridge, Step Functions</t>
  </si>
  <si>
    <t>MSK — m5.4xlarge cluster</t>
  </si>
  <si>
    <t>MirrorMaker 2 from Event Hubs</t>
  </si>
  <si>
    <t>broker-mo</t>
  </si>
  <si>
    <t>6 brokers.</t>
  </si>
  <si>
    <t>SQS FIFO</t>
  </si>
  <si>
    <t>Transactional queues</t>
  </si>
  <si>
    <t>EventBridge</t>
  </si>
  <si>
    <t>Event bus</t>
  </si>
  <si>
    <t>per 1M events</t>
  </si>
  <si>
    <t>Step Functions — Standard</t>
  </si>
  <si>
    <t>Saga compensation</t>
  </si>
  <si>
    <t>per 1K transitions</t>
  </si>
  <si>
    <t>300M transitions/mo = 300K units.</t>
  </si>
  <si>
    <t>NETWORK FABRIC (AWS side)</t>
  </si>
  <si>
    <t>AWS Direct Connect 10G</t>
  </si>
  <si>
    <t>Primary + secondary</t>
  </si>
  <si>
    <t>port-mo</t>
  </si>
  <si>
    <t>Dedicated port.</t>
  </si>
  <si>
    <t>AWS Direct Connect data out</t>
  </si>
  <si>
    <t>Cross-cloud + on-prem</t>
  </si>
  <si>
    <t>AWS Transit Gateway</t>
  </si>
  <si>
    <t>Cross-VPC hub</t>
  </si>
  <si>
    <t>attachment-mo</t>
  </si>
  <si>
    <t>SECURITY &amp; OBSERVABILITY — GuardDuty, Security Hub, CloudWatch</t>
  </si>
  <si>
    <t>GuardDuty</t>
  </si>
  <si>
    <t>Enterprise + Malware</t>
  </si>
  <si>
    <t>per GB analyzed</t>
  </si>
  <si>
    <t>30 TB/mo CloudTrail+VPC flow.</t>
  </si>
  <si>
    <t>Security Hub</t>
  </si>
  <si>
    <t>Standards+Findings</t>
  </si>
  <si>
    <t>per account-mo</t>
  </si>
  <si>
    <t>CloudWatch logs ingestion</t>
  </si>
  <si>
    <t>DR telemetry</t>
  </si>
  <si>
    <t>40 TB/mo.</t>
  </si>
  <si>
    <t>CloudWatch metrics</t>
  </si>
  <si>
    <t>Custom metrics</t>
  </si>
  <si>
    <t>per metric-mo</t>
  </si>
  <si>
    <t>AWS STANDBY — SUBTOTAL (monthly, list price)</t>
  </si>
  <si>
    <t xml:space="preserve">  Less: AWS EDP discount</t>
  </si>
  <si>
    <t xml:space="preserve">  Less: Savings Plans (3yr blended)</t>
  </si>
  <si>
    <t>AWS STANDBY — COMMITTED TOTAL (post-discount)</t>
  </si>
  <si>
    <t>ADAM Governance Overlay — OpEx attributable to ADAM alone</t>
  </si>
  <si>
    <t>Line Item</t>
  </si>
  <si>
    <t>Monthly ($)</t>
  </si>
  <si>
    <t>Annual ($)</t>
  </si>
  <si>
    <t>% of Total</t>
  </si>
  <si>
    <t>Notes</t>
  </si>
  <si>
    <t>Azure OpenAI GPT-4o-mini (85% routing)</t>
  </si>
  <si>
    <t>Routine agent decisions (85% of 20M decisions/day)</t>
  </si>
  <si>
    <t>Azure OpenAI GPT-4o (15% routing)</t>
  </si>
  <si>
    <t>Governor + AI-Native reasoning</t>
  </si>
  <si>
    <t>AWS Bedrock shadow (30% DR validation)</t>
  </si>
  <si>
    <t>Claude Haiku+Sonnet on Bedrock, 30% shadow for DR &amp; model diversity</t>
  </si>
  <si>
    <t>AKS Governance Plane (E32s v5 × 6 + A100 × 5)</t>
  </si>
  <si>
    <t>Governance pool + Governor GPU</t>
  </si>
  <si>
    <t>AKS Agent Mesh (D16s v5 × 40, 81 agents)</t>
  </si>
  <si>
    <t>Work-group agent pods</t>
  </si>
  <si>
    <t>AKS Digital Twin GPU pool (H100 × 8)</t>
  </si>
  <si>
    <t>Enterprise/Ops/Economic/Risk twins</t>
  </si>
  <si>
    <t>CORE DNA graph database (autoscale)</t>
  </si>
  <si>
    <t>Azure Data Explorer (Flight Recorder hot)</t>
  </si>
  <si>
    <t>Hot-tier query cluster for Flight Recorder</t>
  </si>
  <si>
    <t>Blob Storage — Flight Recorder (WORM 7yr)</t>
  </si>
  <si>
    <t>Hot+Cool+Archive WORM tiers, 7-year retention</t>
  </si>
  <si>
    <t>Confidential Ledger + Key Vault HSM</t>
  </si>
  <si>
    <t>Attestation ledger + HSM key ops for intent signing</t>
  </si>
  <si>
    <t>Service Bus Premium + Event Hubs + Event Grid</t>
  </si>
  <si>
    <t>Async Intent/Exception/Evidence/Doctrine queues</t>
  </si>
  <si>
    <t>Sentinel + Monitor + App Insights (governance share)</t>
  </si>
  <si>
    <t>35% of observability allocated to ADAM (8-blueprint-layer telemetry)</t>
  </si>
  <si>
    <t>Azure AI Search + embeddings</t>
  </si>
  <si>
    <t>Vector RAG for agent context retrieval</t>
  </si>
  <si>
    <t>Azure Policy + API Management (ADAM share)</t>
  </si>
  <si>
    <t>OPA fallback + ADAM API gateway share</t>
  </si>
  <si>
    <t>Azure ↔ AWS sync for CORE graph + Flight Recorder</t>
  </si>
  <si>
    <t>Entra ID P2 (workforce)</t>
  </si>
  <si>
    <t>Staff identity (agents authenticate via SPIFFE not Entra)</t>
  </si>
  <si>
    <t>SPIFFE/SPIRE operational overhead</t>
  </si>
  <si>
    <t>4× D16s for SPIRE servers (workload identity)</t>
  </si>
  <si>
    <t>ADAM GOVERNANCE OVERLAY — MONTHLY TOTAL</t>
  </si>
  <si>
    <t>With EA + RI (25%) + 8% EA discount blended</t>
  </si>
  <si>
    <t>Consolidated Cloud OpEx — 5-Year View</t>
  </si>
  <si>
    <t>Monthly (Y1)</t>
  </si>
  <si>
    <t>Year 1</t>
  </si>
  <si>
    <t>Year 2</t>
  </si>
  <si>
    <t>Year 3</t>
  </si>
  <si>
    <t>Year 4</t>
  </si>
  <si>
    <t>Year 5</t>
  </si>
  <si>
    <t>Azure Primary</t>
  </si>
  <si>
    <t>Azure Primary — committed OpEx</t>
  </si>
  <si>
    <t>AWS Standby — committed OpEx</t>
  </si>
  <si>
    <t>TOTAL CLOUD OpEx</t>
  </si>
  <si>
    <t>Content amortization (ref only, not cloud)</t>
  </si>
  <si>
    <t>Unit Economics</t>
  </si>
  <si>
    <t>Subscribers (year-end)</t>
  </si>
  <si>
    <t>Cloud OpEx per subscriber — annual</t>
  </si>
  <si>
    <t>Cloud OpEx per subscriber — monthly</t>
  </si>
  <si>
    <t>Revenue Model — Pricing Tiers × Subscriber Mix × 5-year growth</t>
  </si>
  <si>
    <t>Price ($/mo)</t>
  </si>
  <si>
    <t>Mix %</t>
  </si>
  <si>
    <t>Subs (Y1)</t>
  </si>
  <si>
    <t>Monthly $ (Y1)</t>
  </si>
  <si>
    <t>Annual $ (Y1)</t>
  </si>
  <si>
    <t>Ad-supported</t>
  </si>
  <si>
    <t>Basic</t>
  </si>
  <si>
    <t>Standard</t>
  </si>
  <si>
    <t>Premium</t>
  </si>
  <si>
    <t>Premium Plus</t>
  </si>
  <si>
    <t xml:space="preserve">  Ad revenue (on ad-supported tier)</t>
  </si>
  <si>
    <t>TOTAL GROSS REVENUE — Y1</t>
  </si>
  <si>
    <t>ARPU (avg revenue / paying sub / mo)</t>
  </si>
  <si>
    <t>Blended ARPU incl. ads</t>
  </si>
  <si>
    <t>5-Year Revenue Projection (flat pricing)</t>
  </si>
  <si>
    <t>Subscribers (year-avg)</t>
  </si>
  <si>
    <t>Gross revenue (flat pricing)</t>
  </si>
  <si>
    <t>Gross revenue (+3% pricing / yr)</t>
  </si>
  <si>
    <t>Less: Payment processing (2.8%)</t>
  </si>
  <si>
    <t>NET REVENUE</t>
  </si>
  <si>
    <t>5-Year P&amp;L — ADAM + NetStreamX (in $000s)</t>
  </si>
  <si>
    <t>$000s</t>
  </si>
  <si>
    <t>Net Revenue (3% pricing growth)</t>
  </si>
  <si>
    <t>COST OF REVENUE</t>
  </si>
  <si>
    <t>Cloud OpEx (Azure + AWS committed)</t>
  </si>
  <si>
    <t>Content amortization (excluded from cloud but shown)</t>
  </si>
  <si>
    <t>Gross Margin — Cloud only</t>
  </si>
  <si>
    <t>Gross Margin % — Cloud only</t>
  </si>
  <si>
    <t>Gross Margin — after content</t>
  </si>
  <si>
    <t>Gross Margin %</t>
  </si>
  <si>
    <t>Cumulative Totals (1 / 3 / 5-year)</t>
  </si>
  <si>
    <t>Cumulative Revenue</t>
  </si>
  <si>
    <t>Cumulative Cloud OpEx</t>
  </si>
  <si>
    <t>Cumulative Content</t>
  </si>
  <si>
    <t>Pricing Scenarios — List vs Committed vs Future (annual)</t>
  </si>
  <si>
    <t>Scenario</t>
  </si>
  <si>
    <t>AWS Standby</t>
  </si>
  <si>
    <t>Total Cloud OpEx</t>
  </si>
  <si>
    <t>OpEx per sub ($/yr)</t>
  </si>
  <si>
    <t>Current LIST pricing — Year 1 (no commitments)</t>
  </si>
  <si>
    <t>Current COMMITTED — Year 1 (EA + 3yr RI/SP)</t>
  </si>
  <si>
    <t>Future — Year 3 (committed + price deflation + 12%/yr sub growth)</t>
  </si>
  <si>
    <t>Future — Year 5 (committed + deflation + 12%/yr sub growth)</t>
  </si>
  <si>
    <t>Impact of Commitments + Deflation (savings vs LIST Year 1)</t>
  </si>
  <si>
    <t>List-to-Committed savings (Y1)</t>
  </si>
  <si>
    <t>Competitive Benchmark — ARPU, Margin, Tier Pricing (2026)</t>
  </si>
  <si>
    <t>Platform</t>
  </si>
  <si>
    <t>Subs (M)</t>
  </si>
  <si>
    <t>ARPU ($/mo)</t>
  </si>
  <si>
    <t>Entry tier $</t>
  </si>
  <si>
    <t>Mid tier $</t>
  </si>
  <si>
    <t>Top tier $</t>
  </si>
  <si>
    <t>GM %</t>
  </si>
  <si>
    <t>Positioning / notes</t>
  </si>
  <si>
    <t>Netflix</t>
  </si>
  <si>
    <t>Largest; price-lead; ad-tier $7.99. Premium w/ 4K at $24.99 US.</t>
  </si>
  <si>
    <t>Disney+ / Bundle</t>
  </si>
  <si>
    <t>Lower ARPU; bundles Hulu+ESPN lift US ARPU. Aggressive family price.</t>
  </si>
  <si>
    <t>Max (Warner Bros)</t>
  </si>
  <si>
    <t>Premium sports/HBO content. Ultimate UHD tier at $20.99.</t>
  </si>
  <si>
    <t>Paramount+</t>
  </si>
  <si>
    <t>Live TV + CBS news; lower ARPU; challenged margins.</t>
  </si>
  <si>
    <t>Apple TV+</t>
  </si>
  <si>
    <t>n/d</t>
  </si>
  <si>
    <t>Single tier; subsidizes via hardware halo.</t>
  </si>
  <si>
    <t>Prime Video</t>
  </si>
  <si>
    <t>Bundled inside Prime; 'true' streaming ARPU hard to isolate.</t>
  </si>
  <si>
    <t>Hulu (ex Disney bundle)</t>
  </si>
  <si>
    <t>No-ads + live TV skew ARPU up; aggressive on ads.</t>
  </si>
  <si>
    <t>Mubi</t>
  </si>
  <si>
    <t>Curated art house; niche but premium margins.</t>
  </si>
  <si>
    <t>NETSTREAMX (this model)</t>
  </si>
  <si>
    <t>This model — matches mid-market streamer positioning with ADAM governance built in.</t>
  </si>
  <si>
    <t>Key observations</t>
  </si>
  <si>
    <t>Mid-market SVODs (100 K–1 M subs) cluster at $11–14 ARPU.  Below $10 ARPU, only bundle plays (Disney, Prime) survive.</t>
  </si>
  <si>
    <t>Premium UHD tier top end is $20–25.  Anything above $25 requires either live sports (Hulu+LiveTV) or multi-brand bundles.</t>
  </si>
  <si>
    <t>Mature streamers are targeting 30–35 % cloud-excl gross margin; Netflix leads at 45 % via OpenConnect (private CDN).</t>
  </si>
  <si>
    <t>Ad-supported tier is now table stakes — contributes 15–25 % of revenue at $4–8 price and ~$6 ARPU in ads.</t>
  </si>
  <si>
    <t>Content amortization, NOT cloud, drives P&amp;L.  A 100K-title library is 'mid-tier' — $0.5–1B/yr amortized; big 5 run 2–20×.</t>
  </si>
  <si>
    <t>ADAM governance overlay adds ~$1–3 / sub / year — material vs raw cost but ~0.5–1% of ARPU; more than paid back in exception savings + regulatory fine avoidance.</t>
  </si>
  <si>
    <t>Pricing Recommendations — Sustain &amp; Grow</t>
  </si>
  <si>
    <t>Recommended Tier</t>
  </si>
  <si>
    <t>Price / mo</t>
  </si>
  <si>
    <t>Mix target</t>
  </si>
  <si>
    <t>ARPU contribution</t>
  </si>
  <si>
    <t>Rationale</t>
  </si>
  <si>
    <t>Ad-supported (HD)</t>
  </si>
  <si>
    <t>Funnel tier; ad revenue pushes effective ARPU to ~$11/mo. Keep free-trial conversion tied to this.</t>
  </si>
  <si>
    <t>Basic (HD, 1 stream)</t>
  </si>
  <si>
    <t>Raise $1 vs current $7.99 to match Netflix Basic. Minimal churn risk at this tier.</t>
  </si>
  <si>
    <t>Standard (HD, 2 streams)</t>
  </si>
  <si>
    <t>Core profit tier. $1 raise to $14.99 closes the gap to Netflix Standard and adds ~$4M/yr net.</t>
  </si>
  <si>
    <t>Premium (UHD, 4 streams)</t>
  </si>
  <si>
    <t>Raise $2 to $21.99.  Pricing aligns with Max Ultimate and signals premium content commitment.</t>
  </si>
  <si>
    <t>Premium Plus (UHD + bundled)</t>
  </si>
  <si>
    <t>New anchor tier — UHD + Dolby Atmos + downloads + 2 guest passes + early access. Justifies UHD CDN costs.</t>
  </si>
  <si>
    <t>Recommended blended ARPU (paying subs only)</t>
  </si>
  <si>
    <t>Break-even Pricing Calculator</t>
  </si>
  <si>
    <t>Cloud OpEx per sub per month (Y1, committed)</t>
  </si>
  <si>
    <t>Content amort. per sub per month</t>
  </si>
  <si>
    <t>Target gross margin %</t>
  </si>
  <si>
    <t>Minimum ARPU to achieve target GM</t>
  </si>
  <si>
    <t>Gap vs recommended blended ARPU</t>
  </si>
  <si>
    <t>Business Recommendations (summary)</t>
  </si>
  <si>
    <t>PRICE</t>
  </si>
  <si>
    <t>Raise blended ARPU to ~$14.50 (from ~$12.10). Standard + Premium tiers absorb $1–2 increases with &lt;1 % churn impact at this scale.</t>
  </si>
  <si>
    <t>TIERING</t>
  </si>
  <si>
    <t>Introduce Premium Plus at $27.99 to capture top 5–8 % of heavy UHD watchers; provides an anchor that lifts perceived value of Premium.</t>
  </si>
  <si>
    <t>COMMIT</t>
  </si>
  <si>
    <t>Move to 3-year Microsoft EA + 3-yr Azure Savings Plans immediately; lock 25–30 % discount vs list and stabilize cost curve.</t>
  </si>
  <si>
    <t>DR ECONOMICS</t>
  </si>
  <si>
    <t>Keep AWS at 30 % warm; validate a 'pilot-light' (10 %) scenario for years 2-3 once Azure MTBF justifies — saves ~$4–6 M/yr.</t>
  </si>
  <si>
    <t>CDN</t>
  </si>
  <si>
    <t>Dual-source CDN (CloudFront + a specialist — Akamai or Fastly) with contracted ~$0.012/GB at PB scale; build peering to top 15 ISPs in EU/NA.</t>
  </si>
  <si>
    <t>AI COST</t>
  </si>
  <si>
    <t>Route 85 % of agent decisions to GPT-4o-mini; reserve GPT-4o for Governor layer only.  Implement a semantic cache (30 % hit rate on recurring intents) for ~$2 M/yr saving.</t>
  </si>
  <si>
    <t>ADAM VALUE</t>
  </si>
  <si>
    <t>The ADAM overlay adds $1–3/sub/yr — fund it from reducing exception SLA breaches (estimated $0.20–0.60/sub/mo from rights &amp; fraud incidents).</t>
  </si>
  <si>
    <t>CONTENT</t>
  </si>
  <si>
    <t>Cloud OpEx is NOT the binding constraint — content spend is.  Every $1 cut in content ROI is worth 10× a $1 cut in cloud.</t>
  </si>
  <si>
    <t>Per-subscriber ADAM overlay cost (monthly, committed)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</si>
</sst>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;[Red]\(#,##0\);\-"/>
    <numFmt numFmtId="165" formatCode="0.0%;[Red]\(0.0%\);\-"/>
    <numFmt numFmtId="166" formatCode="_-\$* #,##0.00_-;[Red]_-\$* \(#,##0.00\)_-;_-\$* \-??_-;_-@_-"/>
    <numFmt numFmtId="167" formatCode="0.0\x"/>
    <numFmt numFmtId="168" formatCode="#,##0.00&quot; PB&quot;"/>
    <numFmt numFmtId="169" formatCode="_-\$* #,##0_-;[Red]_-\$* \(#,##0\)_-;_-\$* \-??_-;_-@_-"/>
    <numFmt numFmtId="170" formatCode="#,##0.00;[Red]\(#,##0.00\);\-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i/>
      <sz val="11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1" xfId="0" applyFont="1" applyBorder="1" applyAlignment="1">
      <alignment horizontal="left" vertical="top" wrapText="1" indent="1"/>
    </xf>
    <xf numFmtId="0" fontId="4" fillId="5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8" fontId="3" fillId="4" borderId="1" xfId="0" applyNumberFormat="1" applyFont="1" applyFill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169" fontId="4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0" fillId="0" borderId="1" xfId="0" applyBorder="1"/>
    <xf numFmtId="169" fontId="4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/>
    <xf numFmtId="169" fontId="7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4" fillId="2" borderId="1" xfId="0" applyFont="1" applyFill="1" applyBorder="1"/>
    <xf numFmtId="169" fontId="4" fillId="2" borderId="1" xfId="0" applyNumberFormat="1" applyFont="1" applyFill="1" applyBorder="1"/>
    <xf numFmtId="165" fontId="4" fillId="2" borderId="1" xfId="0" applyNumberFormat="1" applyFont="1" applyFill="1" applyBorder="1"/>
    <xf numFmtId="0" fontId="2" fillId="0" borderId="1" xfId="0" applyFont="1" applyBorder="1" applyAlignment="1">
      <alignment horizontal="left" vertical="center" wrapText="1"/>
    </xf>
    <xf numFmtId="169" fontId="2" fillId="0" borderId="1" xfId="0" applyNumberFormat="1" applyFont="1" applyBorder="1"/>
    <xf numFmtId="166" fontId="2" fillId="5" borderId="1" xfId="0" applyNumberFormat="1" applyFont="1" applyFill="1" applyBorder="1"/>
    <xf numFmtId="0" fontId="4" fillId="2" borderId="1" xfId="0" applyFont="1" applyFill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6" fontId="2" fillId="5" borderId="1" xfId="0" applyNumberFormat="1" applyFont="1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69" fontId="2" fillId="5" borderId="1" xfId="0" applyNumberFormat="1" applyFont="1" applyFill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69" fontId="2" fillId="6" borderId="1" xfId="0" applyNumberFormat="1" applyFont="1" applyFill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 wrapText="1"/>
    </xf>
    <xf numFmtId="169" fontId="7" fillId="5" borderId="1" xfId="0" applyNumberFormat="1" applyFont="1" applyFill="1" applyBorder="1" applyAlignment="1">
      <alignment horizontal="right" vertical="center"/>
    </xf>
    <xf numFmtId="170" fontId="3" fillId="0" borderId="1" xfId="0" applyNumberFormat="1" applyFont="1" applyBorder="1" applyAlignment="1">
      <alignment horizontal="right" vertical="center"/>
    </xf>
    <xf numFmtId="170" fontId="3" fillId="5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166" fontId="4" fillId="2" borderId="1" xfId="0" applyNumberFormat="1" applyFont="1" applyFill="1" applyBorder="1" applyAlignment="1">
      <alignment horizontal="right" vertical="center"/>
    </xf>
    <xf numFmtId="166" fontId="7" fillId="0" borderId="1" xfId="0" applyNumberFormat="1" applyFont="1" applyBorder="1"/>
    <xf numFmtId="165" fontId="6" fillId="4" borderId="1" xfId="0" applyNumberFormat="1" applyFont="1" applyFill="1" applyBorder="1"/>
    <xf numFmtId="166" fontId="2" fillId="0" borderId="1" xfId="0" applyNumberFormat="1" applyFont="1" applyBorder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opLeftCell="A9" zoomScaleNormal="100" workbookViewId="0"/>
  </sheetViews>
  <sheetFormatPr defaultColWidth="8.6328125" defaultRowHeight="14.5" x14ac:dyDescent="0.35"/>
  <cols>
    <col min="1" max="1" width="110" customWidth="1"/>
  </cols>
  <sheetData>
    <row r="1" spans="1:1" ht="27.75" customHeight="1" x14ac:dyDescent="0.35">
      <c r="A1" s="7" t="s">
        <v>0</v>
      </c>
    </row>
    <row r="3" spans="1:1" ht="19.5" customHeight="1" x14ac:dyDescent="0.35">
      <c r="A3" s="8" t="s">
        <v>1</v>
      </c>
    </row>
    <row r="4" spans="1:1" ht="53" customHeight="1" x14ac:dyDescent="0.35">
      <c r="A4" s="9" t="s">
        <v>2</v>
      </c>
    </row>
    <row r="6" spans="1:1" ht="19.5" customHeight="1" x14ac:dyDescent="0.35">
      <c r="A6" s="8" t="s">
        <v>3</v>
      </c>
    </row>
    <row r="7" spans="1:1" ht="30" customHeight="1" x14ac:dyDescent="0.35">
      <c r="A7" s="9" t="s">
        <v>4</v>
      </c>
    </row>
    <row r="9" spans="1:1" ht="19.5" customHeight="1" x14ac:dyDescent="0.35">
      <c r="A9" s="8" t="s">
        <v>5</v>
      </c>
    </row>
    <row r="10" spans="1:1" ht="42.75" customHeight="1" x14ac:dyDescent="0.35">
      <c r="A10" s="9" t="s">
        <v>6</v>
      </c>
    </row>
    <row r="12" spans="1:1" ht="19.5" customHeight="1" x14ac:dyDescent="0.35">
      <c r="A12" s="8" t="s">
        <v>7</v>
      </c>
    </row>
    <row r="13" spans="1:1" ht="30" customHeight="1" x14ac:dyDescent="0.35">
      <c r="A13" s="9" t="s">
        <v>8</v>
      </c>
    </row>
    <row r="15" spans="1:1" ht="19.5" customHeight="1" x14ac:dyDescent="0.35">
      <c r="A15" s="8" t="s">
        <v>9</v>
      </c>
    </row>
    <row r="16" spans="1:1" ht="168.75" customHeight="1" x14ac:dyDescent="0.35">
      <c r="A16" s="9" t="s">
        <v>10</v>
      </c>
    </row>
    <row r="18" spans="1:1" ht="19.5" customHeight="1" x14ac:dyDescent="0.35">
      <c r="A18" s="8" t="s">
        <v>11</v>
      </c>
    </row>
    <row r="19" spans="1:1" ht="84.75" customHeight="1" x14ac:dyDescent="0.35">
      <c r="A19" s="9" t="s">
        <v>12</v>
      </c>
    </row>
    <row r="21" spans="1:1" ht="19.5" customHeight="1" x14ac:dyDescent="0.35">
      <c r="A21" s="8" t="s">
        <v>13</v>
      </c>
    </row>
    <row r="22" spans="1:1" ht="84.75" customHeight="1" x14ac:dyDescent="0.35">
      <c r="A22" s="9" t="s">
        <v>14</v>
      </c>
    </row>
    <row r="24" spans="1:1" ht="19.5" customHeight="1" x14ac:dyDescent="0.35">
      <c r="A24" s="8" t="s">
        <v>15</v>
      </c>
    </row>
    <row r="25" spans="1:1" ht="30" customHeight="1" x14ac:dyDescent="0.35">
      <c r="A25" s="9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zoomScaleNormal="100" workbookViewId="0">
      <selection activeCell="B10" sqref="B10"/>
    </sheetView>
  </sheetViews>
  <sheetFormatPr defaultColWidth="8.6328125" defaultRowHeight="14.5" x14ac:dyDescent="0.35"/>
  <cols>
    <col min="1" max="1" width="44" customWidth="1"/>
    <col min="2" max="2" width="18" customWidth="1"/>
    <col min="3" max="3" width="20" customWidth="1"/>
    <col min="4" max="4" width="80" customWidth="1"/>
  </cols>
  <sheetData>
    <row r="1" spans="1:4" ht="21.75" customHeight="1" x14ac:dyDescent="0.35">
      <c r="A1" s="6" t="s">
        <v>17</v>
      </c>
      <c r="B1" s="6"/>
      <c r="C1" s="6"/>
      <c r="D1" s="6"/>
    </row>
    <row r="2" spans="1:4" ht="15" customHeight="1" x14ac:dyDescent="0.35">
      <c r="A2" s="10" t="s">
        <v>18</v>
      </c>
      <c r="B2" s="10" t="s">
        <v>19</v>
      </c>
      <c r="C2" s="10" t="s">
        <v>20</v>
      </c>
      <c r="D2" s="10" t="s">
        <v>21</v>
      </c>
    </row>
    <row r="3" spans="1:4" ht="15" customHeight="1" x14ac:dyDescent="0.35">
      <c r="A3" s="5" t="s">
        <v>22</v>
      </c>
      <c r="B3" s="5"/>
      <c r="C3" s="5"/>
      <c r="D3" s="5"/>
    </row>
    <row r="4" spans="1:4" ht="15" customHeight="1" x14ac:dyDescent="0.35">
      <c r="A4" s="11" t="s">
        <v>23</v>
      </c>
      <c r="B4" s="12">
        <v>1000000</v>
      </c>
      <c r="C4" s="13" t="s">
        <v>24</v>
      </c>
      <c r="D4" s="11" t="s">
        <v>25</v>
      </c>
    </row>
    <row r="5" spans="1:4" ht="15" customHeight="1" x14ac:dyDescent="0.35">
      <c r="A5" s="11" t="s">
        <v>26</v>
      </c>
      <c r="B5" s="14">
        <v>0.65</v>
      </c>
      <c r="C5" s="13" t="s">
        <v>27</v>
      </c>
      <c r="D5" s="11" t="s">
        <v>28</v>
      </c>
    </row>
    <row r="6" spans="1:4" ht="15" customHeight="1" x14ac:dyDescent="0.35">
      <c r="A6" s="11" t="s">
        <v>29</v>
      </c>
      <c r="B6" s="12">
        <v>2.1</v>
      </c>
      <c r="C6" s="13" t="s">
        <v>30</v>
      </c>
      <c r="D6" s="11" t="s">
        <v>31</v>
      </c>
    </row>
    <row r="7" spans="1:4" ht="15" customHeight="1" x14ac:dyDescent="0.35">
      <c r="A7" s="11" t="s">
        <v>32</v>
      </c>
      <c r="B7" s="12">
        <v>100000</v>
      </c>
      <c r="C7" s="13" t="s">
        <v>33</v>
      </c>
      <c r="D7" s="11" t="s">
        <v>25</v>
      </c>
    </row>
    <row r="8" spans="1:4" ht="15" customHeight="1" x14ac:dyDescent="0.35">
      <c r="A8" s="11" t="s">
        <v>34</v>
      </c>
      <c r="B8" s="12">
        <v>2</v>
      </c>
      <c r="C8" s="13" t="s">
        <v>30</v>
      </c>
      <c r="D8" s="11" t="s">
        <v>35</v>
      </c>
    </row>
    <row r="9" spans="1:4" ht="15" customHeight="1" x14ac:dyDescent="0.35">
      <c r="A9" s="11" t="s">
        <v>36</v>
      </c>
      <c r="B9" s="14">
        <v>0.12</v>
      </c>
      <c r="C9" s="13" t="s">
        <v>27</v>
      </c>
      <c r="D9" s="11" t="s">
        <v>37</v>
      </c>
    </row>
    <row r="10" spans="1:4" ht="15" customHeight="1" x14ac:dyDescent="0.35">
      <c r="A10" s="11" t="s">
        <v>38</v>
      </c>
      <c r="B10" s="14">
        <v>0.3</v>
      </c>
      <c r="C10" s="13" t="s">
        <v>27</v>
      </c>
      <c r="D10" s="11" t="s">
        <v>39</v>
      </c>
    </row>
    <row r="11" spans="1:4" ht="15" customHeight="1" x14ac:dyDescent="0.35">
      <c r="A11" s="5" t="s">
        <v>40</v>
      </c>
      <c r="B11" s="5"/>
      <c r="C11" s="5"/>
      <c r="D11" s="5"/>
    </row>
    <row r="12" spans="1:4" ht="15" customHeight="1" x14ac:dyDescent="0.35">
      <c r="A12" s="11" t="s">
        <v>41</v>
      </c>
      <c r="B12" s="12">
        <v>15</v>
      </c>
      <c r="C12" s="13" t="s">
        <v>42</v>
      </c>
      <c r="D12" s="11" t="s">
        <v>43</v>
      </c>
    </row>
    <row r="13" spans="1:4" ht="15" customHeight="1" x14ac:dyDescent="0.35">
      <c r="A13" s="11" t="s">
        <v>44</v>
      </c>
      <c r="B13" s="12">
        <v>5</v>
      </c>
      <c r="C13" s="13" t="s">
        <v>42</v>
      </c>
      <c r="D13" s="11" t="s">
        <v>45</v>
      </c>
    </row>
    <row r="14" spans="1:4" ht="15" customHeight="1" x14ac:dyDescent="0.35">
      <c r="A14" s="11" t="s">
        <v>46</v>
      </c>
      <c r="B14" s="12">
        <v>1.5</v>
      </c>
      <c r="C14" s="13" t="s">
        <v>42</v>
      </c>
      <c r="D14" s="11" t="s">
        <v>47</v>
      </c>
    </row>
    <row r="15" spans="1:4" ht="15" customHeight="1" x14ac:dyDescent="0.35">
      <c r="A15" s="11" t="s">
        <v>48</v>
      </c>
      <c r="B15" s="14">
        <v>0.3</v>
      </c>
      <c r="C15" s="13" t="s">
        <v>27</v>
      </c>
      <c r="D15" s="11" t="s">
        <v>49</v>
      </c>
    </row>
    <row r="16" spans="1:4" ht="15" customHeight="1" x14ac:dyDescent="0.35">
      <c r="A16" s="11" t="s">
        <v>50</v>
      </c>
      <c r="B16" s="14">
        <v>0.5</v>
      </c>
      <c r="C16" s="13" t="s">
        <v>27</v>
      </c>
      <c r="D16" s="11"/>
    </row>
    <row r="17" spans="1:4" ht="15" customHeight="1" x14ac:dyDescent="0.35">
      <c r="A17" s="11" t="s">
        <v>51</v>
      </c>
      <c r="B17" s="14">
        <v>0.2</v>
      </c>
      <c r="C17" s="13" t="s">
        <v>27</v>
      </c>
      <c r="D17" s="11"/>
    </row>
    <row r="18" spans="1:4" ht="23.25" customHeight="1" x14ac:dyDescent="0.35">
      <c r="A18" s="11" t="s">
        <v>52</v>
      </c>
      <c r="B18" s="15">
        <v>42</v>
      </c>
      <c r="C18" s="13" t="s">
        <v>53</v>
      </c>
      <c r="D18" s="11" t="s">
        <v>54</v>
      </c>
    </row>
    <row r="19" spans="1:4" ht="15" customHeight="1" x14ac:dyDescent="0.35">
      <c r="A19" s="11" t="s">
        <v>55</v>
      </c>
      <c r="B19" s="12">
        <v>8000</v>
      </c>
      <c r="C19" s="13" t="s">
        <v>33</v>
      </c>
      <c r="D19" s="11" t="s">
        <v>56</v>
      </c>
    </row>
    <row r="20" spans="1:4" ht="15" customHeight="1" x14ac:dyDescent="0.35">
      <c r="A20" s="11" t="s">
        <v>57</v>
      </c>
      <c r="B20" s="12">
        <v>10</v>
      </c>
      <c r="C20" s="13" t="s">
        <v>58</v>
      </c>
      <c r="D20" s="11" t="s">
        <v>59</v>
      </c>
    </row>
    <row r="21" spans="1:4" ht="15" customHeight="1" x14ac:dyDescent="0.35">
      <c r="A21" s="11" t="s">
        <v>60</v>
      </c>
      <c r="B21" s="12">
        <v>22</v>
      </c>
      <c r="C21" s="13" t="s">
        <v>61</v>
      </c>
      <c r="D21" s="11" t="s">
        <v>62</v>
      </c>
    </row>
    <row r="22" spans="1:4" ht="15" customHeight="1" x14ac:dyDescent="0.35">
      <c r="A22" s="11" t="s">
        <v>63</v>
      </c>
      <c r="B22" s="12">
        <v>55</v>
      </c>
      <c r="C22" s="13" t="s">
        <v>61</v>
      </c>
      <c r="D22" s="11" t="s">
        <v>64</v>
      </c>
    </row>
    <row r="23" spans="1:4" ht="15" customHeight="1" x14ac:dyDescent="0.35">
      <c r="A23" s="5" t="s">
        <v>65</v>
      </c>
      <c r="B23" s="5"/>
      <c r="C23" s="5"/>
      <c r="D23" s="5"/>
    </row>
    <row r="24" spans="1:4" ht="15" customHeight="1" x14ac:dyDescent="0.35">
      <c r="A24" s="11" t="s">
        <v>66</v>
      </c>
      <c r="B24" s="15">
        <v>1.2E-2</v>
      </c>
      <c r="C24" s="13" t="s">
        <v>67</v>
      </c>
      <c r="D24" s="11" t="s">
        <v>68</v>
      </c>
    </row>
    <row r="25" spans="1:4" ht="15" customHeight="1" x14ac:dyDescent="0.35">
      <c r="A25" s="11" t="s">
        <v>69</v>
      </c>
      <c r="B25" s="14">
        <v>0.25</v>
      </c>
      <c r="C25" s="13" t="s">
        <v>27</v>
      </c>
      <c r="D25" s="11" t="s">
        <v>70</v>
      </c>
    </row>
    <row r="26" spans="1:4" ht="15" customHeight="1" x14ac:dyDescent="0.35">
      <c r="A26" s="11" t="s">
        <v>71</v>
      </c>
      <c r="B26" s="16">
        <v>1.08</v>
      </c>
      <c r="C26" s="13" t="s">
        <v>72</v>
      </c>
      <c r="D26" s="11" t="s">
        <v>73</v>
      </c>
    </row>
    <row r="27" spans="1:4" ht="15" customHeight="1" x14ac:dyDescent="0.35">
      <c r="A27" s="11" t="s">
        <v>74</v>
      </c>
      <c r="B27" s="15">
        <v>8000</v>
      </c>
      <c r="C27" s="13" t="s">
        <v>75</v>
      </c>
      <c r="D27" s="11" t="s">
        <v>76</v>
      </c>
    </row>
    <row r="28" spans="1:4" ht="15" customHeight="1" x14ac:dyDescent="0.35">
      <c r="A28" s="11" t="s">
        <v>77</v>
      </c>
      <c r="B28" s="15">
        <v>6500</v>
      </c>
      <c r="C28" s="13" t="s">
        <v>75</v>
      </c>
      <c r="D28" s="11" t="s">
        <v>78</v>
      </c>
    </row>
    <row r="29" spans="1:4" ht="15" customHeight="1" x14ac:dyDescent="0.35">
      <c r="A29" s="5" t="s">
        <v>79</v>
      </c>
      <c r="B29" s="5"/>
      <c r="C29" s="5"/>
      <c r="D29" s="5"/>
    </row>
    <row r="30" spans="1:4" ht="15" customHeight="1" x14ac:dyDescent="0.35">
      <c r="A30" s="11" t="s">
        <v>80</v>
      </c>
      <c r="B30" s="12">
        <v>20000000</v>
      </c>
      <c r="C30" s="13" t="s">
        <v>81</v>
      </c>
      <c r="D30" s="11" t="s">
        <v>82</v>
      </c>
    </row>
    <row r="31" spans="1:4" ht="15" customHeight="1" x14ac:dyDescent="0.35">
      <c r="A31" s="11" t="s">
        <v>83</v>
      </c>
      <c r="B31" s="12">
        <v>2400</v>
      </c>
      <c r="C31" s="13" t="s">
        <v>84</v>
      </c>
      <c r="D31" s="11" t="s">
        <v>85</v>
      </c>
    </row>
    <row r="32" spans="1:4" ht="15" customHeight="1" x14ac:dyDescent="0.35">
      <c r="A32" s="11" t="s">
        <v>86</v>
      </c>
      <c r="B32" s="12">
        <v>420</v>
      </c>
      <c r="C32" s="13" t="s">
        <v>84</v>
      </c>
      <c r="D32" s="11" t="s">
        <v>87</v>
      </c>
    </row>
    <row r="33" spans="1:4" ht="15" customHeight="1" x14ac:dyDescent="0.35">
      <c r="A33" s="11" t="s">
        <v>88</v>
      </c>
      <c r="B33" s="14">
        <v>0.85</v>
      </c>
      <c r="C33" s="13" t="s">
        <v>27</v>
      </c>
      <c r="D33" s="11" t="s">
        <v>89</v>
      </c>
    </row>
    <row r="34" spans="1:4" ht="15" customHeight="1" x14ac:dyDescent="0.35">
      <c r="A34" s="11" t="s">
        <v>90</v>
      </c>
      <c r="B34" s="14">
        <v>0.15</v>
      </c>
      <c r="C34" s="13" t="s">
        <v>27</v>
      </c>
      <c r="D34" s="11" t="s">
        <v>91</v>
      </c>
    </row>
    <row r="35" spans="1:4" ht="15" customHeight="1" x14ac:dyDescent="0.35">
      <c r="A35" s="11" t="s">
        <v>92</v>
      </c>
      <c r="B35" s="15">
        <v>0.15</v>
      </c>
      <c r="C35" s="13" t="s">
        <v>93</v>
      </c>
      <c r="D35" s="11" t="s">
        <v>94</v>
      </c>
    </row>
    <row r="36" spans="1:4" ht="15" customHeight="1" x14ac:dyDescent="0.35">
      <c r="A36" s="11" t="s">
        <v>95</v>
      </c>
      <c r="B36" s="15">
        <v>0.6</v>
      </c>
      <c r="C36" s="13" t="s">
        <v>93</v>
      </c>
      <c r="D36" s="11" t="s">
        <v>94</v>
      </c>
    </row>
    <row r="37" spans="1:4" ht="15" customHeight="1" x14ac:dyDescent="0.35">
      <c r="A37" s="11" t="s">
        <v>96</v>
      </c>
      <c r="B37" s="15">
        <v>2.5</v>
      </c>
      <c r="C37" s="13" t="s">
        <v>93</v>
      </c>
      <c r="D37" s="11" t="s">
        <v>94</v>
      </c>
    </row>
    <row r="38" spans="1:4" ht="15" customHeight="1" x14ac:dyDescent="0.35">
      <c r="A38" s="11" t="s">
        <v>97</v>
      </c>
      <c r="B38" s="15">
        <v>10</v>
      </c>
      <c r="C38" s="13" t="s">
        <v>93</v>
      </c>
      <c r="D38" s="11" t="s">
        <v>94</v>
      </c>
    </row>
    <row r="39" spans="1:4" ht="15" customHeight="1" x14ac:dyDescent="0.35">
      <c r="A39" s="11" t="s">
        <v>98</v>
      </c>
      <c r="B39" s="12">
        <v>7</v>
      </c>
      <c r="C39" s="13" t="s">
        <v>99</v>
      </c>
      <c r="D39" s="11" t="s">
        <v>100</v>
      </c>
    </row>
    <row r="40" spans="1:4" ht="15" customHeight="1" x14ac:dyDescent="0.35">
      <c r="A40" s="11" t="s">
        <v>101</v>
      </c>
      <c r="B40" s="12">
        <v>300000000</v>
      </c>
      <c r="C40" s="13" t="s">
        <v>102</v>
      </c>
      <c r="D40" s="11" t="s">
        <v>103</v>
      </c>
    </row>
    <row r="41" spans="1:4" ht="15" customHeight="1" x14ac:dyDescent="0.35">
      <c r="A41" s="11" t="s">
        <v>104</v>
      </c>
      <c r="B41" s="12">
        <v>1800</v>
      </c>
      <c r="C41" s="13" t="s">
        <v>105</v>
      </c>
      <c r="D41" s="11" t="s">
        <v>106</v>
      </c>
    </row>
    <row r="42" spans="1:4" ht="15" customHeight="1" x14ac:dyDescent="0.35">
      <c r="A42" s="5" t="s">
        <v>107</v>
      </c>
      <c r="B42" s="5"/>
      <c r="C42" s="5"/>
      <c r="D42" s="5"/>
    </row>
    <row r="43" spans="1:4" ht="15" customHeight="1" x14ac:dyDescent="0.35">
      <c r="A43" s="11" t="s">
        <v>108</v>
      </c>
      <c r="B43" s="14">
        <v>0.25</v>
      </c>
      <c r="C43" s="13" t="s">
        <v>27</v>
      </c>
      <c r="D43" s="11" t="s">
        <v>109</v>
      </c>
    </row>
    <row r="44" spans="1:4" ht="15" customHeight="1" x14ac:dyDescent="0.35">
      <c r="A44" s="11" t="s">
        <v>110</v>
      </c>
      <c r="B44" s="14">
        <v>0.08</v>
      </c>
      <c r="C44" s="13" t="s">
        <v>27</v>
      </c>
      <c r="D44" s="11" t="s">
        <v>111</v>
      </c>
    </row>
    <row r="45" spans="1:4" ht="15" customHeight="1" x14ac:dyDescent="0.35">
      <c r="A45" s="11" t="s">
        <v>112</v>
      </c>
      <c r="B45" s="14">
        <v>0.08</v>
      </c>
      <c r="C45" s="13" t="s">
        <v>27</v>
      </c>
      <c r="D45" s="11" t="s">
        <v>113</v>
      </c>
    </row>
    <row r="46" spans="1:4" ht="15" customHeight="1" x14ac:dyDescent="0.35">
      <c r="A46" s="11" t="s">
        <v>114</v>
      </c>
      <c r="B46" s="14">
        <v>0.25</v>
      </c>
      <c r="C46" s="13" t="s">
        <v>27</v>
      </c>
      <c r="D46" s="11" t="s">
        <v>115</v>
      </c>
    </row>
    <row r="47" spans="1:4" ht="15" customHeight="1" x14ac:dyDescent="0.35">
      <c r="A47" s="5" t="s">
        <v>116</v>
      </c>
      <c r="B47" s="5"/>
      <c r="C47" s="5"/>
      <c r="D47" s="5"/>
    </row>
    <row r="48" spans="1:4" ht="15" customHeight="1" x14ac:dyDescent="0.35">
      <c r="A48" s="11" t="s">
        <v>117</v>
      </c>
      <c r="B48" s="15">
        <v>7.99</v>
      </c>
      <c r="C48" s="13" t="s">
        <v>75</v>
      </c>
      <c r="D48" s="11" t="s">
        <v>118</v>
      </c>
    </row>
    <row r="49" spans="1:4" ht="15" customHeight="1" x14ac:dyDescent="0.35">
      <c r="A49" s="11" t="s">
        <v>119</v>
      </c>
      <c r="B49" s="15">
        <v>13.99</v>
      </c>
      <c r="C49" s="13" t="s">
        <v>75</v>
      </c>
      <c r="D49" s="11" t="s">
        <v>120</v>
      </c>
    </row>
    <row r="50" spans="1:4" ht="15" customHeight="1" x14ac:dyDescent="0.35">
      <c r="A50" s="11" t="s">
        <v>121</v>
      </c>
      <c r="B50" s="15">
        <v>19.989999999999998</v>
      </c>
      <c r="C50" s="13" t="s">
        <v>75</v>
      </c>
      <c r="D50" s="11" t="s">
        <v>122</v>
      </c>
    </row>
    <row r="51" spans="1:4" ht="15" customHeight="1" x14ac:dyDescent="0.35">
      <c r="A51" s="11" t="s">
        <v>123</v>
      </c>
      <c r="B51" s="15">
        <v>24.99</v>
      </c>
      <c r="C51" s="13" t="s">
        <v>75</v>
      </c>
      <c r="D51" s="11" t="s">
        <v>124</v>
      </c>
    </row>
    <row r="52" spans="1:4" ht="15" customHeight="1" x14ac:dyDescent="0.35">
      <c r="A52" s="11" t="s">
        <v>125</v>
      </c>
      <c r="B52" s="15">
        <v>4.99</v>
      </c>
      <c r="C52" s="13" t="s">
        <v>75</v>
      </c>
      <c r="D52" s="11" t="s">
        <v>126</v>
      </c>
    </row>
    <row r="53" spans="1:4" ht="15" customHeight="1" x14ac:dyDescent="0.35">
      <c r="A53" s="11" t="s">
        <v>127</v>
      </c>
      <c r="B53" s="15">
        <v>6</v>
      </c>
      <c r="C53" s="13" t="s">
        <v>75</v>
      </c>
      <c r="D53" s="11" t="s">
        <v>128</v>
      </c>
    </row>
    <row r="54" spans="1:4" ht="15" customHeight="1" x14ac:dyDescent="0.35">
      <c r="A54" s="11" t="s">
        <v>129</v>
      </c>
      <c r="B54" s="14">
        <v>0.2</v>
      </c>
      <c r="C54" s="13" t="s">
        <v>27</v>
      </c>
      <c r="D54" s="11"/>
    </row>
    <row r="55" spans="1:4" ht="15" customHeight="1" x14ac:dyDescent="0.35">
      <c r="A55" s="11" t="s">
        <v>130</v>
      </c>
      <c r="B55" s="14">
        <v>0.15</v>
      </c>
      <c r="C55" s="13" t="s">
        <v>27</v>
      </c>
      <c r="D55" s="11"/>
    </row>
    <row r="56" spans="1:4" ht="15" customHeight="1" x14ac:dyDescent="0.35">
      <c r="A56" s="11" t="s">
        <v>131</v>
      </c>
      <c r="B56" s="14">
        <v>0.35</v>
      </c>
      <c r="C56" s="13" t="s">
        <v>27</v>
      </c>
      <c r="D56" s="11"/>
    </row>
    <row r="57" spans="1:4" ht="15" customHeight="1" x14ac:dyDescent="0.35">
      <c r="A57" s="11" t="s">
        <v>132</v>
      </c>
      <c r="B57" s="14">
        <v>0.22</v>
      </c>
      <c r="C57" s="13" t="s">
        <v>27</v>
      </c>
      <c r="D57" s="11"/>
    </row>
    <row r="58" spans="1:4" ht="15" customHeight="1" x14ac:dyDescent="0.35">
      <c r="A58" s="11" t="s">
        <v>133</v>
      </c>
      <c r="B58" s="14">
        <v>0.08</v>
      </c>
      <c r="C58" s="13" t="s">
        <v>27</v>
      </c>
      <c r="D58" s="11"/>
    </row>
    <row r="59" spans="1:4" ht="15" customHeight="1" x14ac:dyDescent="0.35">
      <c r="A59" s="11" t="s">
        <v>134</v>
      </c>
      <c r="B59" s="14">
        <v>2.8000000000000001E-2</v>
      </c>
      <c r="C59" s="13" t="s">
        <v>27</v>
      </c>
      <c r="D59" s="11" t="s">
        <v>135</v>
      </c>
    </row>
    <row r="60" spans="1:4" ht="15" customHeight="1" x14ac:dyDescent="0.35">
      <c r="A60" s="5" t="s">
        <v>136</v>
      </c>
      <c r="B60" s="5"/>
      <c r="C60" s="5"/>
      <c r="D60" s="5"/>
    </row>
    <row r="61" spans="1:4" ht="15" customHeight="1" x14ac:dyDescent="0.35">
      <c r="A61" s="11" t="s">
        <v>137</v>
      </c>
      <c r="B61" s="15">
        <v>6.5</v>
      </c>
      <c r="C61" s="13" t="s">
        <v>138</v>
      </c>
      <c r="D61" s="11" t="s">
        <v>139</v>
      </c>
    </row>
  </sheetData>
  <mergeCells count="8">
    <mergeCell ref="A42:D42"/>
    <mergeCell ref="A47:D47"/>
    <mergeCell ref="A60:D60"/>
    <mergeCell ref="A1:D1"/>
    <mergeCell ref="A3:D3"/>
    <mergeCell ref="A11:D11"/>
    <mergeCell ref="A23:D23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zoomScaleNormal="100" workbookViewId="0">
      <selection activeCell="B17" sqref="B17:B18"/>
    </sheetView>
  </sheetViews>
  <sheetFormatPr defaultColWidth="8.6328125" defaultRowHeight="14.5" x14ac:dyDescent="0.35"/>
  <cols>
    <col min="1" max="1" width="52" customWidth="1"/>
    <col min="2" max="2" width="20" customWidth="1"/>
    <col min="3" max="3" width="16" customWidth="1"/>
    <col min="4" max="4" width="80" customWidth="1"/>
  </cols>
  <sheetData>
    <row r="1" spans="1:4" ht="21.75" customHeight="1" x14ac:dyDescent="0.35">
      <c r="A1" s="6" t="s">
        <v>140</v>
      </c>
      <c r="B1" s="6"/>
      <c r="C1" s="6"/>
      <c r="D1" s="6"/>
    </row>
    <row r="2" spans="1:4" ht="15" customHeight="1" x14ac:dyDescent="0.35">
      <c r="A2" s="10" t="s">
        <v>141</v>
      </c>
      <c r="B2" s="10" t="s">
        <v>19</v>
      </c>
      <c r="C2" s="10" t="s">
        <v>20</v>
      </c>
      <c r="D2" s="10" t="s">
        <v>142</v>
      </c>
    </row>
    <row r="3" spans="1:4" ht="15" customHeight="1" x14ac:dyDescent="0.35">
      <c r="A3" s="5" t="s">
        <v>143</v>
      </c>
      <c r="B3" s="5"/>
      <c r="C3" s="5"/>
      <c r="D3" s="5"/>
    </row>
    <row r="4" spans="1:4" ht="15" customHeight="1" x14ac:dyDescent="0.35">
      <c r="A4" s="11" t="s">
        <v>144</v>
      </c>
      <c r="B4" s="17">
        <f>(Assumptions!$B$12*Assumptions!$B$15+Assumptions!$B$13*Assumptions!$B$16+Assumptions!$B$14*Assumptions!$B$17)</f>
        <v>7.3</v>
      </c>
      <c r="C4" s="13" t="s">
        <v>42</v>
      </c>
      <c r="D4" s="11" t="s">
        <v>145</v>
      </c>
    </row>
    <row r="5" spans="1:4" ht="15" customHeight="1" x14ac:dyDescent="0.35">
      <c r="A5" s="11" t="s">
        <v>146</v>
      </c>
      <c r="B5" s="18">
        <f>Assumptions!$B$4*Assumptions!$B$5</f>
        <v>650000</v>
      </c>
      <c r="C5" s="13" t="s">
        <v>24</v>
      </c>
      <c r="D5" s="11" t="s">
        <v>147</v>
      </c>
    </row>
    <row r="6" spans="1:4" ht="15" customHeight="1" x14ac:dyDescent="0.35">
      <c r="A6" s="11" t="s">
        <v>148</v>
      </c>
      <c r="B6" s="18">
        <f>B5*Assumptions!$B$6*30</f>
        <v>40950000</v>
      </c>
      <c r="C6" s="13" t="s">
        <v>149</v>
      </c>
      <c r="D6" s="11" t="s">
        <v>150</v>
      </c>
    </row>
    <row r="7" spans="1:4" ht="15" customHeight="1" x14ac:dyDescent="0.35">
      <c r="A7" s="11" t="s">
        <v>151</v>
      </c>
      <c r="B7" s="19">
        <f>(B6*B4*3600)/8/1024/1024/1024</f>
        <v>125.28221122920513</v>
      </c>
      <c r="C7" s="13" t="s">
        <v>152</v>
      </c>
      <c r="D7" s="11" t="s">
        <v>153</v>
      </c>
    </row>
    <row r="8" spans="1:4" ht="15" customHeight="1" x14ac:dyDescent="0.35">
      <c r="A8" s="11" t="s">
        <v>154</v>
      </c>
      <c r="B8" s="20">
        <f>B7*Assumptions!$B$26-B7</f>
        <v>10.022576898336411</v>
      </c>
      <c r="C8" s="13" t="s">
        <v>152</v>
      </c>
      <c r="D8" s="11" t="s">
        <v>155</v>
      </c>
    </row>
    <row r="9" spans="1:4" ht="15" customHeight="1" x14ac:dyDescent="0.35">
      <c r="A9" s="11" t="s">
        <v>156</v>
      </c>
      <c r="B9" s="19">
        <f>B7*(1-Assumptions!$B$25)</f>
        <v>93.961658421903849</v>
      </c>
      <c r="C9" s="13" t="s">
        <v>152</v>
      </c>
      <c r="D9" s="11" t="s">
        <v>157</v>
      </c>
    </row>
    <row r="10" spans="1:4" ht="15" customHeight="1" x14ac:dyDescent="0.35">
      <c r="A10" s="5" t="s">
        <v>158</v>
      </c>
      <c r="B10" s="5"/>
      <c r="C10" s="5"/>
      <c r="D10" s="5"/>
    </row>
    <row r="11" spans="1:4" ht="15" customHeight="1" x14ac:dyDescent="0.35">
      <c r="A11" s="11" t="s">
        <v>159</v>
      </c>
      <c r="B11" s="19">
        <f>Assumptions!$B$7*Assumptions!$B$22/1024/1024</f>
        <v>5.245208740234375</v>
      </c>
      <c r="C11" s="13" t="s">
        <v>152</v>
      </c>
      <c r="D11" s="11" t="s">
        <v>160</v>
      </c>
    </row>
    <row r="12" spans="1:4" ht="15" customHeight="1" x14ac:dyDescent="0.35">
      <c r="A12" s="11" t="s">
        <v>161</v>
      </c>
      <c r="B12" s="20">
        <f>Assumptions!$B$7*Assumptions!$B$8*Assumptions!$B$21/1024/1024</f>
        <v>4.1961669921875</v>
      </c>
      <c r="C12" s="13" t="s">
        <v>152</v>
      </c>
      <c r="D12" s="11" t="s">
        <v>162</v>
      </c>
    </row>
    <row r="13" spans="1:4" ht="15" customHeight="1" x14ac:dyDescent="0.35">
      <c r="A13" s="11" t="s">
        <v>163</v>
      </c>
      <c r="B13" s="20">
        <f>B12*3</f>
        <v>12.5885009765625</v>
      </c>
      <c r="C13" s="13" t="s">
        <v>152</v>
      </c>
      <c r="D13" s="11" t="s">
        <v>164</v>
      </c>
    </row>
    <row r="14" spans="1:4" ht="15" customHeight="1" x14ac:dyDescent="0.35">
      <c r="A14" s="11" t="s">
        <v>165</v>
      </c>
      <c r="B14" s="20">
        <f>(Assumptions!$B$40*Assumptions!$B$41*365*7)/1024/1024/1024/1024/1024</f>
        <v>1.2254197656602628</v>
      </c>
      <c r="C14" s="13" t="s">
        <v>152</v>
      </c>
      <c r="D14" s="11" t="s">
        <v>166</v>
      </c>
    </row>
    <row r="15" spans="1:4" ht="15" customHeight="1" x14ac:dyDescent="0.35">
      <c r="A15" s="5" t="s">
        <v>167</v>
      </c>
      <c r="B15" s="5"/>
      <c r="C15" s="5"/>
      <c r="D15" s="5"/>
    </row>
    <row r="16" spans="1:4" ht="15" customHeight="1" x14ac:dyDescent="0.35">
      <c r="A16" s="11" t="s">
        <v>168</v>
      </c>
      <c r="B16" s="21">
        <f>Assumptions!$B$30*30</f>
        <v>600000000</v>
      </c>
      <c r="C16" s="13" t="s">
        <v>81</v>
      </c>
      <c r="D16" s="11"/>
    </row>
    <row r="17" spans="1:4" ht="15" customHeight="1" x14ac:dyDescent="0.35">
      <c r="A17" s="11" t="s">
        <v>169</v>
      </c>
      <c r="B17" s="18">
        <f>B16*Assumptions!$B$31</f>
        <v>1440000000000</v>
      </c>
      <c r="C17" s="13" t="s">
        <v>170</v>
      </c>
      <c r="D17" s="11"/>
    </row>
    <row r="18" spans="1:4" ht="15" customHeight="1" x14ac:dyDescent="0.35">
      <c r="A18" s="11" t="s">
        <v>171</v>
      </c>
      <c r="B18" s="18">
        <f>B16*Assumptions!$B$32</f>
        <v>252000000000</v>
      </c>
      <c r="C18" s="13" t="s">
        <v>170</v>
      </c>
      <c r="D18" s="11"/>
    </row>
    <row r="19" spans="1:4" ht="15" customHeight="1" x14ac:dyDescent="0.35">
      <c r="A19" s="5" t="s">
        <v>172</v>
      </c>
      <c r="B19" s="5"/>
      <c r="C19" s="5"/>
      <c r="D19" s="5"/>
    </row>
    <row r="20" spans="1:4" ht="15" customHeight="1" x14ac:dyDescent="0.35">
      <c r="A20" s="11" t="s">
        <v>173</v>
      </c>
      <c r="B20" s="18">
        <f>3180</f>
        <v>3180</v>
      </c>
      <c r="C20" s="13" t="s">
        <v>174</v>
      </c>
      <c r="D20" s="11" t="s">
        <v>175</v>
      </c>
    </row>
    <row r="21" spans="1:4" ht="15" customHeight="1" x14ac:dyDescent="0.35">
      <c r="A21" s="11" t="s">
        <v>176</v>
      </c>
      <c r="B21" s="18">
        <f>42</f>
        <v>42</v>
      </c>
      <c r="C21" s="13" t="s">
        <v>174</v>
      </c>
      <c r="D21" s="11" t="s">
        <v>177</v>
      </c>
    </row>
    <row r="22" spans="1:4" ht="15" customHeight="1" x14ac:dyDescent="0.35">
      <c r="A22" s="11" t="s">
        <v>178</v>
      </c>
      <c r="B22" s="18">
        <f>B20*0.3</f>
        <v>954</v>
      </c>
      <c r="C22" s="13" t="s">
        <v>174</v>
      </c>
      <c r="D22" s="11" t="s">
        <v>179</v>
      </c>
    </row>
    <row r="23" spans="1:4" ht="15" customHeight="1" x14ac:dyDescent="0.35">
      <c r="A23" s="5" t="s">
        <v>180</v>
      </c>
      <c r="B23" s="5"/>
      <c r="C23" s="5"/>
      <c r="D23" s="5"/>
    </row>
    <row r="24" spans="1:4" ht="15" customHeight="1" x14ac:dyDescent="0.35">
      <c r="A24" s="11" t="s">
        <v>181</v>
      </c>
      <c r="B24" s="18">
        <f>Assumptions!$B$19*Assumptions!$B$8</f>
        <v>16000</v>
      </c>
      <c r="C24" s="13" t="s">
        <v>149</v>
      </c>
      <c r="D24" s="11" t="s">
        <v>182</v>
      </c>
    </row>
    <row r="25" spans="1:4" ht="15" customHeight="1" x14ac:dyDescent="0.35">
      <c r="A25" s="11" t="s">
        <v>183</v>
      </c>
      <c r="B25" s="18">
        <f>B24/12</f>
        <v>1333.3333333333333</v>
      </c>
      <c r="C25" s="13" t="s">
        <v>149</v>
      </c>
      <c r="D25" s="11"/>
    </row>
  </sheetData>
  <mergeCells count="6">
    <mergeCell ref="A23:D23"/>
    <mergeCell ref="A1:D1"/>
    <mergeCell ref="A3:D3"/>
    <mergeCell ref="A10:D10"/>
    <mergeCell ref="A15:D15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6"/>
  <sheetViews>
    <sheetView zoomScaleNormal="100" workbookViewId="0">
      <selection sqref="A1:H1"/>
    </sheetView>
  </sheetViews>
  <sheetFormatPr defaultColWidth="8.6328125" defaultRowHeight="14.5" x14ac:dyDescent="0.35"/>
  <cols>
    <col min="1" max="1" width="38" customWidth="1"/>
    <col min="2" max="2" width="28" customWidth="1"/>
    <col min="3" max="4" width="14" customWidth="1"/>
    <col min="5" max="7" width="16" customWidth="1"/>
    <col min="8" max="8" width="50" customWidth="1"/>
  </cols>
  <sheetData>
    <row r="1" spans="1:8" ht="21.75" customHeight="1" x14ac:dyDescent="0.35">
      <c r="A1" s="6" t="s">
        <v>184</v>
      </c>
      <c r="B1" s="6"/>
      <c r="C1" s="6"/>
      <c r="D1" s="6"/>
      <c r="E1" s="6"/>
      <c r="F1" s="6"/>
      <c r="G1" s="6"/>
      <c r="H1" s="6"/>
    </row>
    <row r="2" spans="1:8" ht="26.25" customHeight="1" x14ac:dyDescent="0.35">
      <c r="A2" s="10" t="s">
        <v>185</v>
      </c>
      <c r="B2" s="10" t="s">
        <v>186</v>
      </c>
      <c r="C2" s="10" t="s">
        <v>187</v>
      </c>
      <c r="D2" s="10" t="s">
        <v>188</v>
      </c>
      <c r="E2" s="10" t="s">
        <v>189</v>
      </c>
      <c r="F2" s="10" t="s">
        <v>190</v>
      </c>
      <c r="G2" s="10" t="s">
        <v>191</v>
      </c>
      <c r="H2" s="10" t="s">
        <v>21</v>
      </c>
    </row>
    <row r="3" spans="1:8" ht="15" customHeight="1" x14ac:dyDescent="0.35">
      <c r="A3" s="5" t="s">
        <v>192</v>
      </c>
      <c r="B3" s="5"/>
      <c r="C3" s="5"/>
      <c r="D3" s="5"/>
      <c r="E3" s="5"/>
      <c r="F3" s="5"/>
      <c r="G3" s="5"/>
      <c r="H3" s="5"/>
    </row>
    <row r="4" spans="1:8" ht="23.25" customHeight="1" x14ac:dyDescent="0.35">
      <c r="A4" s="11" t="s">
        <v>193</v>
      </c>
      <c r="B4" s="11" t="s">
        <v>194</v>
      </c>
      <c r="C4" s="13" t="s">
        <v>195</v>
      </c>
      <c r="D4" s="15">
        <v>0.54</v>
      </c>
      <c r="E4" s="18">
        <f>100*30</f>
        <v>3000</v>
      </c>
      <c r="F4" s="22">
        <f>D4*E4</f>
        <v>1620</v>
      </c>
      <c r="G4" s="22">
        <f>F4*12</f>
        <v>19440</v>
      </c>
      <c r="H4" s="11" t="s">
        <v>196</v>
      </c>
    </row>
    <row r="5" spans="1:8" ht="23.25" customHeight="1" x14ac:dyDescent="0.35">
      <c r="A5" s="11" t="s">
        <v>197</v>
      </c>
      <c r="B5" s="11" t="s">
        <v>198</v>
      </c>
      <c r="C5" s="13" t="s">
        <v>199</v>
      </c>
      <c r="D5" s="15">
        <v>1.8499999999999999E-2</v>
      </c>
      <c r="E5" s="18">
        <f>(('Workload Sizing'!B9*1024*1024)*0.15)</f>
        <v>14778890.991210938</v>
      </c>
      <c r="F5" s="22">
        <f>D5*E5</f>
        <v>273409.48333740234</v>
      </c>
      <c r="G5" s="22">
        <f>F5*12</f>
        <v>3280913.8000488281</v>
      </c>
      <c r="H5" s="11" t="s">
        <v>200</v>
      </c>
    </row>
    <row r="6" spans="1:8" ht="15" customHeight="1" x14ac:dyDescent="0.35">
      <c r="A6" s="11" t="s">
        <v>201</v>
      </c>
      <c r="B6" s="11" t="s">
        <v>202</v>
      </c>
      <c r="C6" s="13" t="s">
        <v>203</v>
      </c>
      <c r="D6" s="15">
        <v>0.9</v>
      </c>
      <c r="E6" s="18">
        <f>90000</f>
        <v>90000</v>
      </c>
      <c r="F6" s="22">
        <f>D6*E6</f>
        <v>81000</v>
      </c>
      <c r="G6" s="22">
        <f>F6*12</f>
        <v>972000</v>
      </c>
      <c r="H6" s="11" t="s">
        <v>204</v>
      </c>
    </row>
    <row r="7" spans="1:8" ht="15" customHeight="1" x14ac:dyDescent="0.35">
      <c r="A7" s="11" t="s">
        <v>205</v>
      </c>
      <c r="B7" s="11" t="s">
        <v>206</v>
      </c>
      <c r="C7" s="13" t="s">
        <v>203</v>
      </c>
      <c r="D7" s="15">
        <v>0.6</v>
      </c>
      <c r="E7" s="18">
        <f>90000</f>
        <v>90000</v>
      </c>
      <c r="F7" s="22">
        <f>D7*E7</f>
        <v>54000</v>
      </c>
      <c r="G7" s="22">
        <f>F7*12</f>
        <v>648000</v>
      </c>
      <c r="H7" s="11" t="s">
        <v>207</v>
      </c>
    </row>
    <row r="8" spans="1:8" ht="15" customHeight="1" x14ac:dyDescent="0.35">
      <c r="A8" s="5" t="s">
        <v>208</v>
      </c>
      <c r="B8" s="5"/>
      <c r="C8" s="5"/>
      <c r="D8" s="5"/>
      <c r="E8" s="5"/>
      <c r="F8" s="5"/>
      <c r="G8" s="5"/>
      <c r="H8" s="5"/>
    </row>
    <row r="9" spans="1:8" ht="15" customHeight="1" x14ac:dyDescent="0.35">
      <c r="A9" s="11" t="s">
        <v>209</v>
      </c>
      <c r="B9" s="11" t="s">
        <v>210</v>
      </c>
      <c r="C9" s="13" t="s">
        <v>211</v>
      </c>
      <c r="D9" s="15">
        <v>8000</v>
      </c>
      <c r="E9" s="18">
        <f>1</f>
        <v>1</v>
      </c>
      <c r="F9" s="22">
        <f>D9*E9</f>
        <v>8000</v>
      </c>
      <c r="G9" s="22">
        <f>F9*12</f>
        <v>96000</v>
      </c>
      <c r="H9" s="11" t="s">
        <v>212</v>
      </c>
    </row>
    <row r="10" spans="1:8" ht="15" customHeight="1" x14ac:dyDescent="0.35">
      <c r="A10" s="11" t="s">
        <v>213</v>
      </c>
      <c r="B10" s="11" t="s">
        <v>214</v>
      </c>
      <c r="C10" s="13" t="s">
        <v>215</v>
      </c>
      <c r="D10" s="15">
        <v>6500</v>
      </c>
      <c r="E10" s="18">
        <f>1</f>
        <v>1</v>
      </c>
      <c r="F10" s="22">
        <f>D10*E10</f>
        <v>6500</v>
      </c>
      <c r="G10" s="22">
        <f>F10*12</f>
        <v>78000</v>
      </c>
      <c r="H10" s="11" t="s">
        <v>216</v>
      </c>
    </row>
    <row r="11" spans="1:8" ht="15" customHeight="1" x14ac:dyDescent="0.35">
      <c r="A11" s="11" t="s">
        <v>217</v>
      </c>
      <c r="B11" s="11" t="s">
        <v>218</v>
      </c>
      <c r="C11" s="13" t="s">
        <v>199</v>
      </c>
      <c r="D11" s="15">
        <v>0.02</v>
      </c>
      <c r="E11" s="18">
        <f>50000</f>
        <v>50000</v>
      </c>
      <c r="F11" s="22">
        <f>D11*E11</f>
        <v>1000</v>
      </c>
      <c r="G11" s="22">
        <f>F11*12</f>
        <v>12000</v>
      </c>
      <c r="H11" s="11" t="s">
        <v>219</v>
      </c>
    </row>
    <row r="12" spans="1:8" ht="15" customHeight="1" x14ac:dyDescent="0.35">
      <c r="A12" s="11" t="s">
        <v>220</v>
      </c>
      <c r="B12" s="11" t="s">
        <v>221</v>
      </c>
      <c r="C12" s="13" t="s">
        <v>222</v>
      </c>
      <c r="D12" s="15">
        <v>4.4999999999999998E-2</v>
      </c>
      <c r="E12" s="18">
        <f>3*730</f>
        <v>2190</v>
      </c>
      <c r="F12" s="22">
        <f>D12*E12</f>
        <v>98.55</v>
      </c>
      <c r="G12" s="22">
        <f>F12*12</f>
        <v>1182.5999999999999</v>
      </c>
      <c r="H12" s="11" t="s">
        <v>223</v>
      </c>
    </row>
    <row r="13" spans="1:8" ht="15" customHeight="1" x14ac:dyDescent="0.35">
      <c r="A13" s="5" t="s">
        <v>224</v>
      </c>
      <c r="B13" s="5"/>
      <c r="C13" s="5"/>
      <c r="D13" s="5"/>
      <c r="E13" s="5"/>
      <c r="F13" s="5"/>
      <c r="G13" s="5"/>
      <c r="H13" s="5"/>
    </row>
    <row r="14" spans="1:8" ht="15" customHeight="1" x14ac:dyDescent="0.35">
      <c r="A14" s="11" t="s">
        <v>225</v>
      </c>
      <c r="B14" s="11" t="s">
        <v>226</v>
      </c>
      <c r="C14" s="13" t="s">
        <v>227</v>
      </c>
      <c r="D14" s="15">
        <v>9</v>
      </c>
      <c r="E14" s="18">
        <f>800</f>
        <v>800</v>
      </c>
      <c r="F14" s="22">
        <f>D14*E14</f>
        <v>7200</v>
      </c>
      <c r="G14" s="22">
        <f>F14*12</f>
        <v>86400</v>
      </c>
      <c r="H14" s="11" t="s">
        <v>228</v>
      </c>
    </row>
    <row r="15" spans="1:8" ht="15" customHeight="1" x14ac:dyDescent="0.35">
      <c r="A15" s="11" t="s">
        <v>229</v>
      </c>
      <c r="B15" s="11" t="s">
        <v>230</v>
      </c>
      <c r="C15" s="13" t="s">
        <v>231</v>
      </c>
      <c r="D15" s="15">
        <v>3.2499999999999999E-3</v>
      </c>
      <c r="E15" s="18">
        <f>(Assumptions!$B$4*Assumptions!$B$5)</f>
        <v>650000</v>
      </c>
      <c r="F15" s="22">
        <f>D15*E15</f>
        <v>2112.5</v>
      </c>
      <c r="G15" s="22">
        <f>F15*12</f>
        <v>25350</v>
      </c>
      <c r="H15" s="11" t="s">
        <v>232</v>
      </c>
    </row>
    <row r="16" spans="1:8" ht="15" customHeight="1" x14ac:dyDescent="0.35">
      <c r="A16" s="11" t="s">
        <v>233</v>
      </c>
      <c r="B16" s="11" t="s">
        <v>234</v>
      </c>
      <c r="C16" s="13" t="s">
        <v>235</v>
      </c>
      <c r="D16" s="15">
        <v>3195</v>
      </c>
      <c r="E16" s="18">
        <f>2</f>
        <v>2</v>
      </c>
      <c r="F16" s="22">
        <f>D16*E16</f>
        <v>6390</v>
      </c>
      <c r="G16" s="22">
        <f>F16*12</f>
        <v>76680</v>
      </c>
      <c r="H16" s="11" t="s">
        <v>236</v>
      </c>
    </row>
    <row r="17" spans="1:8" ht="15" customHeight="1" x14ac:dyDescent="0.35">
      <c r="A17" s="11" t="s">
        <v>237</v>
      </c>
      <c r="B17" s="11" t="s">
        <v>238</v>
      </c>
      <c r="C17" s="13" t="s">
        <v>239</v>
      </c>
      <c r="D17" s="15">
        <v>0.15</v>
      </c>
      <c r="E17" s="18">
        <f>5000000/10000</f>
        <v>500</v>
      </c>
      <c r="F17" s="22">
        <f>D17*E17</f>
        <v>75</v>
      </c>
      <c r="G17" s="22">
        <f>F17*12</f>
        <v>900</v>
      </c>
      <c r="H17" s="11" t="s">
        <v>240</v>
      </c>
    </row>
    <row r="18" spans="1:8" ht="15" customHeight="1" x14ac:dyDescent="0.35">
      <c r="A18" s="11" t="s">
        <v>241</v>
      </c>
      <c r="B18" s="11" t="s">
        <v>242</v>
      </c>
      <c r="C18" s="13" t="s">
        <v>243</v>
      </c>
      <c r="D18" s="15">
        <v>5.0000000000000004E-6</v>
      </c>
      <c r="E18" s="18">
        <f>300000000*30</f>
        <v>9000000000</v>
      </c>
      <c r="F18" s="22">
        <f>D18*E18</f>
        <v>45000.000000000007</v>
      </c>
      <c r="G18" s="22">
        <f>F18*12</f>
        <v>540000.00000000012</v>
      </c>
      <c r="H18" s="11" t="s">
        <v>244</v>
      </c>
    </row>
    <row r="19" spans="1:8" ht="15" customHeight="1" x14ac:dyDescent="0.35">
      <c r="A19" s="5" t="s">
        <v>245</v>
      </c>
      <c r="B19" s="5"/>
      <c r="C19" s="5"/>
      <c r="D19" s="5"/>
      <c r="E19" s="5"/>
      <c r="F19" s="5"/>
      <c r="G19" s="5"/>
      <c r="H19" s="5"/>
    </row>
    <row r="20" spans="1:8" ht="15" customHeight="1" x14ac:dyDescent="0.35">
      <c r="A20" s="11" t="s">
        <v>246</v>
      </c>
      <c r="B20" s="11" t="s">
        <v>247</v>
      </c>
      <c r="C20" s="13" t="s">
        <v>248</v>
      </c>
      <c r="D20" s="15">
        <v>1679</v>
      </c>
      <c r="E20" s="18">
        <f>6</f>
        <v>6</v>
      </c>
      <c r="F20" s="22">
        <f t="shared" ref="F20:F25" si="0">D20*E20</f>
        <v>10074</v>
      </c>
      <c r="G20" s="22">
        <f t="shared" ref="G20:G25" si="1">F20*12</f>
        <v>120888</v>
      </c>
      <c r="H20" s="11" t="s">
        <v>249</v>
      </c>
    </row>
    <row r="21" spans="1:8" ht="15" customHeight="1" x14ac:dyDescent="0.35">
      <c r="A21" s="11" t="s">
        <v>250</v>
      </c>
      <c r="B21" s="11" t="s">
        <v>251</v>
      </c>
      <c r="C21" s="13" t="s">
        <v>248</v>
      </c>
      <c r="D21" s="15">
        <v>583</v>
      </c>
      <c r="E21" s="18">
        <f>40</f>
        <v>40</v>
      </c>
      <c r="F21" s="22">
        <f t="shared" si="0"/>
        <v>23320</v>
      </c>
      <c r="G21" s="22">
        <f t="shared" si="1"/>
        <v>279840</v>
      </c>
      <c r="H21" s="11" t="s">
        <v>252</v>
      </c>
    </row>
    <row r="22" spans="1:8" ht="15" customHeight="1" x14ac:dyDescent="0.35">
      <c r="A22" s="11" t="s">
        <v>253</v>
      </c>
      <c r="B22" s="11" t="s">
        <v>254</v>
      </c>
      <c r="C22" s="13" t="s">
        <v>248</v>
      </c>
      <c r="D22" s="15">
        <v>5489</v>
      </c>
      <c r="E22" s="18">
        <f>5</f>
        <v>5</v>
      </c>
      <c r="F22" s="22">
        <f t="shared" si="0"/>
        <v>27445</v>
      </c>
      <c r="G22" s="22">
        <f t="shared" si="1"/>
        <v>329340</v>
      </c>
      <c r="H22" s="11" t="s">
        <v>255</v>
      </c>
    </row>
    <row r="23" spans="1:8" ht="15" customHeight="1" x14ac:dyDescent="0.35">
      <c r="A23" s="11" t="s">
        <v>256</v>
      </c>
      <c r="B23" s="11" t="s">
        <v>257</v>
      </c>
      <c r="C23" s="13" t="s">
        <v>248</v>
      </c>
      <c r="D23" s="15">
        <v>17520</v>
      </c>
      <c r="E23" s="18">
        <f>8</f>
        <v>8</v>
      </c>
      <c r="F23" s="22">
        <f t="shared" si="0"/>
        <v>140160</v>
      </c>
      <c r="G23" s="22">
        <f t="shared" si="1"/>
        <v>1681920</v>
      </c>
      <c r="H23" s="11" t="s">
        <v>258</v>
      </c>
    </row>
    <row r="24" spans="1:8" ht="15" customHeight="1" x14ac:dyDescent="0.35">
      <c r="A24" s="11" t="s">
        <v>259</v>
      </c>
      <c r="B24" s="11" t="s">
        <v>260</v>
      </c>
      <c r="C24" s="13" t="s">
        <v>261</v>
      </c>
      <c r="D24" s="15">
        <v>1029</v>
      </c>
      <c r="E24" s="18">
        <f>4</f>
        <v>4</v>
      </c>
      <c r="F24" s="22">
        <f t="shared" si="0"/>
        <v>4116</v>
      </c>
      <c r="G24" s="22">
        <f t="shared" si="1"/>
        <v>49392</v>
      </c>
      <c r="H24" s="11" t="s">
        <v>262</v>
      </c>
    </row>
    <row r="25" spans="1:8" ht="15" customHeight="1" x14ac:dyDescent="0.35">
      <c r="A25" s="11" t="s">
        <v>263</v>
      </c>
      <c r="B25" s="11" t="s">
        <v>264</v>
      </c>
      <c r="C25" s="13" t="s">
        <v>261</v>
      </c>
      <c r="D25" s="15">
        <v>280</v>
      </c>
      <c r="E25" s="18">
        <f>8</f>
        <v>8</v>
      </c>
      <c r="F25" s="22">
        <f t="shared" si="0"/>
        <v>2240</v>
      </c>
      <c r="G25" s="22">
        <f t="shared" si="1"/>
        <v>26880</v>
      </c>
      <c r="H25" s="11" t="s">
        <v>265</v>
      </c>
    </row>
    <row r="26" spans="1:8" ht="15" customHeight="1" x14ac:dyDescent="0.35">
      <c r="A26" s="5" t="s">
        <v>266</v>
      </c>
      <c r="B26" s="5"/>
      <c r="C26" s="5"/>
      <c r="D26" s="5"/>
      <c r="E26" s="5"/>
      <c r="F26" s="5"/>
      <c r="G26" s="5"/>
      <c r="H26" s="5"/>
    </row>
    <row r="27" spans="1:8" ht="15" customHeight="1" x14ac:dyDescent="0.35">
      <c r="A27" s="11" t="s">
        <v>267</v>
      </c>
      <c r="B27" s="11" t="s">
        <v>268</v>
      </c>
      <c r="C27" s="13" t="s">
        <v>269</v>
      </c>
      <c r="D27" s="15">
        <v>0.15</v>
      </c>
      <c r="E27" s="18">
        <f>('Workload Sizing'!B17/1000000)*0.85</f>
        <v>1224000</v>
      </c>
      <c r="F27" s="22">
        <f t="shared" ref="F27:F33" si="2">D27*E27</f>
        <v>183600</v>
      </c>
      <c r="G27" s="22">
        <f t="shared" ref="G27:G33" si="3">F27*12</f>
        <v>2203200</v>
      </c>
      <c r="H27" s="11" t="s">
        <v>270</v>
      </c>
    </row>
    <row r="28" spans="1:8" ht="15" customHeight="1" x14ac:dyDescent="0.35">
      <c r="A28" s="11" t="s">
        <v>271</v>
      </c>
      <c r="B28" s="11" t="s">
        <v>268</v>
      </c>
      <c r="C28" s="13" t="s">
        <v>269</v>
      </c>
      <c r="D28" s="15">
        <v>0.6</v>
      </c>
      <c r="E28" s="18">
        <f>('Workload Sizing'!B18/1000000)*0.85</f>
        <v>214200</v>
      </c>
      <c r="F28" s="22">
        <f t="shared" si="2"/>
        <v>128520</v>
      </c>
      <c r="G28" s="22">
        <f t="shared" si="3"/>
        <v>1542240</v>
      </c>
      <c r="H28" s="11"/>
    </row>
    <row r="29" spans="1:8" ht="15" customHeight="1" x14ac:dyDescent="0.35">
      <c r="A29" s="11" t="s">
        <v>272</v>
      </c>
      <c r="B29" s="11" t="s">
        <v>273</v>
      </c>
      <c r="C29" s="13" t="s">
        <v>269</v>
      </c>
      <c r="D29" s="15">
        <v>2.5</v>
      </c>
      <c r="E29" s="18">
        <f>('Workload Sizing'!B17/1000000)*0.15</f>
        <v>216000</v>
      </c>
      <c r="F29" s="22">
        <f t="shared" si="2"/>
        <v>540000</v>
      </c>
      <c r="G29" s="22">
        <f t="shared" si="3"/>
        <v>6480000</v>
      </c>
      <c r="H29" s="11"/>
    </row>
    <row r="30" spans="1:8" ht="15" customHeight="1" x14ac:dyDescent="0.35">
      <c r="A30" s="11" t="s">
        <v>274</v>
      </c>
      <c r="B30" s="11" t="s">
        <v>275</v>
      </c>
      <c r="C30" s="13" t="s">
        <v>269</v>
      </c>
      <c r="D30" s="15">
        <v>10</v>
      </c>
      <c r="E30" s="18">
        <f>('Workload Sizing'!B18/1000000)*0.15</f>
        <v>37800</v>
      </c>
      <c r="F30" s="22">
        <f t="shared" si="2"/>
        <v>378000</v>
      </c>
      <c r="G30" s="22">
        <f t="shared" si="3"/>
        <v>4536000</v>
      </c>
      <c r="H30" s="11"/>
    </row>
    <row r="31" spans="1:8" ht="15" customHeight="1" x14ac:dyDescent="0.35">
      <c r="A31" s="11" t="s">
        <v>276</v>
      </c>
      <c r="B31" s="11" t="s">
        <v>277</v>
      </c>
      <c r="C31" s="13" t="s">
        <v>269</v>
      </c>
      <c r="D31" s="15">
        <v>0.13</v>
      </c>
      <c r="E31" s="18">
        <f>500</f>
        <v>500</v>
      </c>
      <c r="F31" s="22">
        <f t="shared" si="2"/>
        <v>65</v>
      </c>
      <c r="G31" s="22">
        <f t="shared" si="3"/>
        <v>780</v>
      </c>
      <c r="H31" s="11" t="s">
        <v>278</v>
      </c>
    </row>
    <row r="32" spans="1:8" ht="15" customHeight="1" x14ac:dyDescent="0.35">
      <c r="A32" s="11" t="s">
        <v>279</v>
      </c>
      <c r="B32" s="11" t="s">
        <v>280</v>
      </c>
      <c r="C32" s="13" t="s">
        <v>281</v>
      </c>
      <c r="D32" s="15">
        <v>3900</v>
      </c>
      <c r="E32" s="18">
        <f>3</f>
        <v>3</v>
      </c>
      <c r="F32" s="22">
        <f t="shared" si="2"/>
        <v>11700</v>
      </c>
      <c r="G32" s="22">
        <f t="shared" si="3"/>
        <v>140400</v>
      </c>
      <c r="H32" s="11" t="s">
        <v>282</v>
      </c>
    </row>
    <row r="33" spans="1:8" ht="15" customHeight="1" x14ac:dyDescent="0.35">
      <c r="A33" s="11" t="s">
        <v>283</v>
      </c>
      <c r="B33" s="11" t="s">
        <v>284</v>
      </c>
      <c r="C33" s="13" t="s">
        <v>222</v>
      </c>
      <c r="D33" s="15">
        <v>7.52</v>
      </c>
      <c r="E33" s="18">
        <f>500</f>
        <v>500</v>
      </c>
      <c r="F33" s="22">
        <f t="shared" si="2"/>
        <v>3760</v>
      </c>
      <c r="G33" s="22">
        <f t="shared" si="3"/>
        <v>45120</v>
      </c>
      <c r="H33" s="11" t="s">
        <v>285</v>
      </c>
    </row>
    <row r="34" spans="1:8" ht="15" customHeight="1" x14ac:dyDescent="0.35">
      <c r="A34" s="5" t="s">
        <v>286</v>
      </c>
      <c r="B34" s="5"/>
      <c r="C34" s="5"/>
      <c r="D34" s="5"/>
      <c r="E34" s="5"/>
      <c r="F34" s="5"/>
      <c r="G34" s="5"/>
      <c r="H34" s="5"/>
    </row>
    <row r="35" spans="1:8" ht="23.25" customHeight="1" x14ac:dyDescent="0.35">
      <c r="A35" s="11" t="s">
        <v>287</v>
      </c>
      <c r="B35" s="11" t="s">
        <v>288</v>
      </c>
      <c r="C35" s="13" t="s">
        <v>289</v>
      </c>
      <c r="D35" s="15">
        <v>1.6000000000000001E-4</v>
      </c>
      <c r="E35" s="18">
        <f>300000*0.1*730*2</f>
        <v>43800000</v>
      </c>
      <c r="F35" s="22">
        <f t="shared" ref="F35:F44" si="4">D35*E35</f>
        <v>7008.0000000000009</v>
      </c>
      <c r="G35" s="22">
        <f t="shared" ref="G35:G44" si="5">F35*12</f>
        <v>84096.000000000015</v>
      </c>
      <c r="H35" s="11" t="s">
        <v>290</v>
      </c>
    </row>
    <row r="36" spans="1:8" ht="15" customHeight="1" x14ac:dyDescent="0.35">
      <c r="A36" s="11" t="s">
        <v>291</v>
      </c>
      <c r="B36" s="11" t="s">
        <v>292</v>
      </c>
      <c r="C36" s="13" t="s">
        <v>293</v>
      </c>
      <c r="D36" s="15">
        <v>0.25</v>
      </c>
      <c r="E36" s="18">
        <f>8000</f>
        <v>8000</v>
      </c>
      <c r="F36" s="22">
        <f t="shared" si="4"/>
        <v>2000</v>
      </c>
      <c r="G36" s="22">
        <f t="shared" si="5"/>
        <v>24000</v>
      </c>
      <c r="H36" s="11" t="s">
        <v>294</v>
      </c>
    </row>
    <row r="37" spans="1:8" ht="15" customHeight="1" x14ac:dyDescent="0.35">
      <c r="A37" s="11" t="s">
        <v>295</v>
      </c>
      <c r="B37" s="11" t="s">
        <v>296</v>
      </c>
      <c r="C37" s="13" t="s">
        <v>222</v>
      </c>
      <c r="D37" s="15">
        <v>4.3</v>
      </c>
      <c r="E37" s="18">
        <f>4*730</f>
        <v>2920</v>
      </c>
      <c r="F37" s="22">
        <f t="shared" si="4"/>
        <v>12556</v>
      </c>
      <c r="G37" s="22">
        <f t="shared" si="5"/>
        <v>150672</v>
      </c>
      <c r="H37" s="11" t="s">
        <v>297</v>
      </c>
    </row>
    <row r="38" spans="1:8" ht="15" customHeight="1" x14ac:dyDescent="0.35">
      <c r="A38" s="11" t="s">
        <v>298</v>
      </c>
      <c r="B38" s="11" t="s">
        <v>299</v>
      </c>
      <c r="C38" s="13" t="s">
        <v>293</v>
      </c>
      <c r="D38" s="15">
        <v>1.9800000000000002E-2</v>
      </c>
      <c r="E38" s="18">
        <f>('Workload Sizing'!B14*1024*1024)*0.1</f>
        <v>128494.57561969757</v>
      </c>
      <c r="F38" s="22">
        <f t="shared" si="4"/>
        <v>2544.1925972700119</v>
      </c>
      <c r="G38" s="22">
        <f t="shared" si="5"/>
        <v>30530.311167240143</v>
      </c>
      <c r="H38" s="11" t="s">
        <v>300</v>
      </c>
    </row>
    <row r="39" spans="1:8" ht="15" customHeight="1" x14ac:dyDescent="0.35">
      <c r="A39" s="11" t="s">
        <v>301</v>
      </c>
      <c r="B39" s="11" t="s">
        <v>302</v>
      </c>
      <c r="C39" s="13" t="s">
        <v>293</v>
      </c>
      <c r="D39" s="15">
        <v>0.01</v>
      </c>
      <c r="E39" s="18">
        <f>('Workload Sizing'!B14*1024*1024)*0.3</f>
        <v>385483.72685909271</v>
      </c>
      <c r="F39" s="22">
        <f t="shared" si="4"/>
        <v>3854.8372685909271</v>
      </c>
      <c r="G39" s="22">
        <f t="shared" si="5"/>
        <v>46258.047223091125</v>
      </c>
      <c r="H39" s="11" t="s">
        <v>303</v>
      </c>
    </row>
    <row r="40" spans="1:8" ht="15" customHeight="1" x14ac:dyDescent="0.35">
      <c r="A40" s="11" t="s">
        <v>304</v>
      </c>
      <c r="B40" s="11" t="s">
        <v>305</v>
      </c>
      <c r="C40" s="13" t="s">
        <v>293</v>
      </c>
      <c r="D40" s="15">
        <v>9.8999999999999999E-4</v>
      </c>
      <c r="E40" s="18">
        <f>('Workload Sizing'!B14*1024*1024)*0.6</f>
        <v>770967.45371818542</v>
      </c>
      <c r="F40" s="22">
        <f t="shared" si="4"/>
        <v>763.25777918100357</v>
      </c>
      <c r="G40" s="22">
        <f t="shared" si="5"/>
        <v>9159.0933501720428</v>
      </c>
      <c r="H40" s="11" t="s">
        <v>306</v>
      </c>
    </row>
    <row r="41" spans="1:8" ht="15" customHeight="1" x14ac:dyDescent="0.35">
      <c r="A41" s="11" t="s">
        <v>307</v>
      </c>
      <c r="B41" s="11" t="s">
        <v>308</v>
      </c>
      <c r="C41" s="13" t="s">
        <v>293</v>
      </c>
      <c r="D41" s="15">
        <v>1.9800000000000002E-2</v>
      </c>
      <c r="E41" s="18">
        <f>('Workload Sizing'!B11*1024*1024)</f>
        <v>5500000</v>
      </c>
      <c r="F41" s="22">
        <f t="shared" si="4"/>
        <v>108900.00000000001</v>
      </c>
      <c r="G41" s="22">
        <f t="shared" si="5"/>
        <v>1306800.0000000002</v>
      </c>
      <c r="H41" s="11" t="s">
        <v>309</v>
      </c>
    </row>
    <row r="42" spans="1:8" ht="15" customHeight="1" x14ac:dyDescent="0.35">
      <c r="A42" s="11" t="s">
        <v>310</v>
      </c>
      <c r="B42" s="11" t="s">
        <v>311</v>
      </c>
      <c r="C42" s="13" t="s">
        <v>293</v>
      </c>
      <c r="D42" s="15">
        <v>0.01</v>
      </c>
      <c r="E42" s="18">
        <f>('Workload Sizing'!B12*1024*1024)</f>
        <v>4400000</v>
      </c>
      <c r="F42" s="22">
        <f t="shared" si="4"/>
        <v>44000</v>
      </c>
      <c r="G42" s="22">
        <f t="shared" si="5"/>
        <v>528000</v>
      </c>
      <c r="H42" s="11" t="s">
        <v>312</v>
      </c>
    </row>
    <row r="43" spans="1:8" ht="15" customHeight="1" x14ac:dyDescent="0.35">
      <c r="A43" s="11" t="s">
        <v>313</v>
      </c>
      <c r="B43" s="11" t="s">
        <v>314</v>
      </c>
      <c r="C43" s="13" t="s">
        <v>293</v>
      </c>
      <c r="D43" s="15">
        <v>9.8999999999999999E-4</v>
      </c>
      <c r="E43" s="18">
        <f>('Workload Sizing'!B13*1024*1024)</f>
        <v>13200000</v>
      </c>
      <c r="F43" s="22">
        <f t="shared" si="4"/>
        <v>13068</v>
      </c>
      <c r="G43" s="22">
        <f t="shared" si="5"/>
        <v>156816</v>
      </c>
      <c r="H43" s="11" t="s">
        <v>315</v>
      </c>
    </row>
    <row r="44" spans="1:8" ht="15" customHeight="1" x14ac:dyDescent="0.35">
      <c r="A44" s="11" t="s">
        <v>316</v>
      </c>
      <c r="B44" s="11" t="s">
        <v>317</v>
      </c>
      <c r="C44" s="13" t="s">
        <v>318</v>
      </c>
      <c r="D44" s="15">
        <v>413</v>
      </c>
      <c r="E44" s="18">
        <f>2*24</f>
        <v>48</v>
      </c>
      <c r="F44" s="22">
        <f t="shared" si="4"/>
        <v>19824</v>
      </c>
      <c r="G44" s="22">
        <f t="shared" si="5"/>
        <v>237888</v>
      </c>
      <c r="H44" s="11" t="s">
        <v>319</v>
      </c>
    </row>
    <row r="45" spans="1:8" ht="15" customHeight="1" x14ac:dyDescent="0.35">
      <c r="A45" s="5" t="s">
        <v>320</v>
      </c>
      <c r="B45" s="5"/>
      <c r="C45" s="5"/>
      <c r="D45" s="5"/>
      <c r="E45" s="5"/>
      <c r="F45" s="5"/>
      <c r="G45" s="5"/>
      <c r="H45" s="5"/>
    </row>
    <row r="46" spans="1:8" ht="15" customHeight="1" x14ac:dyDescent="0.35">
      <c r="A46" s="11" t="s">
        <v>321</v>
      </c>
      <c r="B46" s="11" t="s">
        <v>322</v>
      </c>
      <c r="C46" s="13" t="s">
        <v>323</v>
      </c>
      <c r="D46" s="15">
        <v>42</v>
      </c>
      <c r="E46" s="18">
        <f>'Workload Sizing'!B25</f>
        <v>1333.3333333333333</v>
      </c>
      <c r="F46" s="22">
        <f>D46*E46</f>
        <v>56000</v>
      </c>
      <c r="G46" s="22">
        <f>F46*12</f>
        <v>672000</v>
      </c>
      <c r="H46" s="11" t="s">
        <v>324</v>
      </c>
    </row>
    <row r="47" spans="1:8" ht="15" customHeight="1" x14ac:dyDescent="0.35">
      <c r="A47" s="11" t="s">
        <v>325</v>
      </c>
      <c r="B47" s="11" t="s">
        <v>326</v>
      </c>
      <c r="C47" s="13" t="s">
        <v>248</v>
      </c>
      <c r="D47" s="15">
        <v>583</v>
      </c>
      <c r="E47" s="18">
        <f>12</f>
        <v>12</v>
      </c>
      <c r="F47" s="22">
        <f>D47*E47</f>
        <v>6996</v>
      </c>
      <c r="G47" s="22">
        <f>F47*12</f>
        <v>83952</v>
      </c>
      <c r="H47" s="11" t="s">
        <v>327</v>
      </c>
    </row>
    <row r="48" spans="1:8" ht="15" customHeight="1" x14ac:dyDescent="0.35">
      <c r="A48" s="11" t="s">
        <v>328</v>
      </c>
      <c r="B48" s="11" t="s">
        <v>329</v>
      </c>
      <c r="C48" s="13" t="s">
        <v>330</v>
      </c>
      <c r="D48" s="15">
        <v>4.0000000000000002E-4</v>
      </c>
      <c r="E48" s="18">
        <f>(Assumptions!$B$4*Assumptions!$B$5*Assumptions!$B$6*30*3)</f>
        <v>122850000</v>
      </c>
      <c r="F48" s="22">
        <f>D48*E48</f>
        <v>49140</v>
      </c>
      <c r="G48" s="22">
        <f>F48*12</f>
        <v>589680</v>
      </c>
      <c r="H48" s="11" t="s">
        <v>331</v>
      </c>
    </row>
    <row r="49" spans="1:8" ht="15" customHeight="1" x14ac:dyDescent="0.35">
      <c r="A49" s="11" t="s">
        <v>332</v>
      </c>
      <c r="B49" s="11" t="s">
        <v>333</v>
      </c>
      <c r="C49" s="13" t="s">
        <v>289</v>
      </c>
      <c r="D49" s="15">
        <v>8.0000000000000007E-5</v>
      </c>
      <c r="E49" s="18">
        <f>1500000*730</f>
        <v>1095000000</v>
      </c>
      <c r="F49" s="22">
        <f>D49*E49</f>
        <v>87600</v>
      </c>
      <c r="G49" s="22">
        <f>F49*12</f>
        <v>1051200</v>
      </c>
      <c r="H49" s="11" t="s">
        <v>334</v>
      </c>
    </row>
    <row r="50" spans="1:8" ht="15" customHeight="1" x14ac:dyDescent="0.35">
      <c r="A50" s="5" t="s">
        <v>335</v>
      </c>
      <c r="B50" s="5"/>
      <c r="C50" s="5"/>
      <c r="D50" s="5"/>
      <c r="E50" s="5"/>
      <c r="F50" s="5"/>
      <c r="G50" s="5"/>
      <c r="H50" s="5"/>
    </row>
    <row r="51" spans="1:8" ht="15" customHeight="1" x14ac:dyDescent="0.35">
      <c r="A51" s="11" t="s">
        <v>336</v>
      </c>
      <c r="B51" s="11" t="s">
        <v>337</v>
      </c>
      <c r="C51" s="13" t="s">
        <v>199</v>
      </c>
      <c r="D51" s="15">
        <v>2.76</v>
      </c>
      <c r="E51" s="18">
        <f>300000</f>
        <v>300000</v>
      </c>
      <c r="F51" s="22">
        <f>D51*E51</f>
        <v>827999.99999999988</v>
      </c>
      <c r="G51" s="22">
        <f>F51*12</f>
        <v>9935999.9999999981</v>
      </c>
      <c r="H51" s="11" t="s">
        <v>338</v>
      </c>
    </row>
    <row r="52" spans="1:8" ht="15" customHeight="1" x14ac:dyDescent="0.35">
      <c r="A52" s="11" t="s">
        <v>339</v>
      </c>
      <c r="B52" s="11" t="s">
        <v>340</v>
      </c>
      <c r="C52" s="13" t="s">
        <v>199</v>
      </c>
      <c r="D52" s="15">
        <v>2.76</v>
      </c>
      <c r="E52" s="18">
        <f>120000</f>
        <v>120000</v>
      </c>
      <c r="F52" s="22">
        <f>D52*E52</f>
        <v>331200</v>
      </c>
      <c r="G52" s="22">
        <f>F52*12</f>
        <v>3974400</v>
      </c>
      <c r="H52" s="11" t="s">
        <v>341</v>
      </c>
    </row>
    <row r="53" spans="1:8" ht="15" customHeight="1" x14ac:dyDescent="0.35">
      <c r="A53" s="11" t="s">
        <v>342</v>
      </c>
      <c r="B53" s="11" t="s">
        <v>343</v>
      </c>
      <c r="C53" s="13" t="s">
        <v>199</v>
      </c>
      <c r="D53" s="15">
        <v>2.76</v>
      </c>
      <c r="E53" s="18">
        <f>45000</f>
        <v>45000</v>
      </c>
      <c r="F53" s="22">
        <f>D53*E53</f>
        <v>124199.99999999999</v>
      </c>
      <c r="G53" s="22">
        <f>F53*12</f>
        <v>1490399.9999999998</v>
      </c>
      <c r="H53" s="11" t="s">
        <v>344</v>
      </c>
    </row>
    <row r="54" spans="1:8" ht="15" customHeight="1" x14ac:dyDescent="0.35">
      <c r="A54" s="11" t="s">
        <v>345</v>
      </c>
      <c r="B54" s="11" t="s">
        <v>346</v>
      </c>
      <c r="C54" s="13" t="s">
        <v>347</v>
      </c>
      <c r="D54" s="15">
        <v>15</v>
      </c>
      <c r="E54" s="18">
        <f>1500</f>
        <v>1500</v>
      </c>
      <c r="F54" s="22">
        <f>D54*E54</f>
        <v>22500</v>
      </c>
      <c r="G54" s="22">
        <f>F54*12</f>
        <v>270000</v>
      </c>
      <c r="H54" s="11" t="s">
        <v>348</v>
      </c>
    </row>
    <row r="55" spans="1:8" ht="15" customHeight="1" x14ac:dyDescent="0.35">
      <c r="A55" s="5" t="s">
        <v>349</v>
      </c>
      <c r="B55" s="5"/>
      <c r="C55" s="5"/>
      <c r="D55" s="5"/>
      <c r="E55" s="5"/>
      <c r="F55" s="5"/>
      <c r="G55" s="5"/>
      <c r="H55" s="5"/>
    </row>
    <row r="56" spans="1:8" ht="15" customHeight="1" x14ac:dyDescent="0.35">
      <c r="A56" s="11" t="s">
        <v>350</v>
      </c>
      <c r="B56" s="11" t="s">
        <v>351</v>
      </c>
      <c r="C56" s="13" t="s">
        <v>352</v>
      </c>
      <c r="D56" s="15">
        <v>1.1000000000000001</v>
      </c>
      <c r="E56" s="18">
        <f>4*730</f>
        <v>2920</v>
      </c>
      <c r="F56" s="22">
        <f>D56*E56</f>
        <v>3212.0000000000005</v>
      </c>
      <c r="G56" s="22">
        <f>F56*12</f>
        <v>38544.000000000007</v>
      </c>
      <c r="H56" s="11" t="s">
        <v>353</v>
      </c>
    </row>
    <row r="57" spans="1:8" ht="15" customHeight="1" x14ac:dyDescent="0.35">
      <c r="A57" s="11" t="s">
        <v>354</v>
      </c>
      <c r="B57" s="11" t="s">
        <v>355</v>
      </c>
      <c r="C57" s="13" t="s">
        <v>356</v>
      </c>
      <c r="D57" s="15">
        <v>693</v>
      </c>
      <c r="E57" s="18">
        <f>8</f>
        <v>8</v>
      </c>
      <c r="F57" s="22">
        <f>D57*E57</f>
        <v>5544</v>
      </c>
      <c r="G57" s="22">
        <f>F57*12</f>
        <v>66528</v>
      </c>
      <c r="H57" s="11" t="s">
        <v>357</v>
      </c>
    </row>
    <row r="58" spans="1:8" ht="15" customHeight="1" x14ac:dyDescent="0.35">
      <c r="A58" s="11" t="s">
        <v>358</v>
      </c>
      <c r="B58" s="11" t="s">
        <v>359</v>
      </c>
      <c r="C58" s="13" t="s">
        <v>360</v>
      </c>
      <c r="D58" s="15">
        <v>0.6</v>
      </c>
      <c r="E58" s="18">
        <f>9000</f>
        <v>9000</v>
      </c>
      <c r="F58" s="22">
        <f>D58*E58</f>
        <v>5400</v>
      </c>
      <c r="G58" s="22">
        <f>F58*12</f>
        <v>64800</v>
      </c>
      <c r="H58" s="11" t="s">
        <v>361</v>
      </c>
    </row>
    <row r="59" spans="1:8" ht="15" customHeight="1" x14ac:dyDescent="0.35">
      <c r="A59" s="11" t="s">
        <v>362</v>
      </c>
      <c r="B59" s="11" t="s">
        <v>363</v>
      </c>
      <c r="C59" s="13" t="s">
        <v>364</v>
      </c>
      <c r="D59" s="15">
        <v>4.0000000000000002E-4</v>
      </c>
      <c r="E59" s="18">
        <f>25000</f>
        <v>25000</v>
      </c>
      <c r="F59" s="22">
        <f>D59*E59</f>
        <v>10</v>
      </c>
      <c r="G59" s="22">
        <f>F59*12</f>
        <v>120</v>
      </c>
      <c r="H59" s="11" t="s">
        <v>365</v>
      </c>
    </row>
    <row r="60" spans="1:8" ht="15" customHeight="1" x14ac:dyDescent="0.35">
      <c r="A60" s="5" t="s">
        <v>366</v>
      </c>
      <c r="B60" s="5"/>
      <c r="C60" s="5"/>
      <c r="D60" s="5"/>
      <c r="E60" s="5"/>
      <c r="F60" s="5"/>
      <c r="G60" s="5"/>
      <c r="H60" s="5"/>
    </row>
    <row r="61" spans="1:8" ht="23.25" customHeight="1" x14ac:dyDescent="0.35">
      <c r="A61" s="11" t="s">
        <v>367</v>
      </c>
      <c r="B61" s="11" t="s">
        <v>368</v>
      </c>
      <c r="C61" s="13" t="s">
        <v>369</v>
      </c>
      <c r="D61" s="15">
        <v>0.5</v>
      </c>
      <c r="E61" s="18">
        <f>260000</f>
        <v>260000</v>
      </c>
      <c r="F61" s="22">
        <f>D61*E61</f>
        <v>130000</v>
      </c>
      <c r="G61" s="22">
        <f t="shared" ref="G61:G66" si="6">F61*12</f>
        <v>1560000</v>
      </c>
      <c r="H61" s="11" t="s">
        <v>370</v>
      </c>
    </row>
    <row r="62" spans="1:8" ht="15" customHeight="1" x14ac:dyDescent="0.35">
      <c r="A62" s="11" t="s">
        <v>371</v>
      </c>
      <c r="B62" s="11" t="s">
        <v>372</v>
      </c>
      <c r="C62" s="13" t="s">
        <v>281</v>
      </c>
      <c r="D62" s="15">
        <v>2795</v>
      </c>
      <c r="E62" s="18">
        <f>4</f>
        <v>4</v>
      </c>
      <c r="F62" s="22">
        <f>D62*E62</f>
        <v>11180</v>
      </c>
      <c r="G62" s="22">
        <f t="shared" si="6"/>
        <v>134160</v>
      </c>
      <c r="H62" s="11" t="s">
        <v>373</v>
      </c>
    </row>
    <row r="63" spans="1:8" ht="15" customHeight="1" x14ac:dyDescent="0.35">
      <c r="A63" s="4" t="s">
        <v>374</v>
      </c>
      <c r="B63" s="4"/>
      <c r="C63" s="4"/>
      <c r="D63" s="4"/>
      <c r="E63" s="4"/>
      <c r="F63" s="23">
        <f>SUMIF(C4:C62,"&lt;&gt;",F4:F62)</f>
        <v>3814905.8209824441</v>
      </c>
      <c r="G63" s="23">
        <f t="shared" si="6"/>
        <v>45778869.851789325</v>
      </c>
      <c r="H63" s="24"/>
    </row>
    <row r="64" spans="1:8" ht="15" customHeight="1" x14ac:dyDescent="0.35">
      <c r="A64" s="3" t="s">
        <v>375</v>
      </c>
      <c r="B64" s="3"/>
      <c r="C64" s="3"/>
      <c r="D64" s="3"/>
      <c r="E64" s="3"/>
      <c r="F64" s="22">
        <f>-F63*Assumptions!$B$44</f>
        <v>-305192.46567859553</v>
      </c>
      <c r="G64" s="22">
        <f t="shared" si="6"/>
        <v>-3662309.5881431466</v>
      </c>
      <c r="H64" s="25"/>
    </row>
    <row r="65" spans="1:8" ht="15" customHeight="1" x14ac:dyDescent="0.35">
      <c r="A65" s="3" t="s">
        <v>376</v>
      </c>
      <c r="B65" s="3"/>
      <c r="C65" s="3"/>
      <c r="D65" s="3"/>
      <c r="E65" s="3"/>
      <c r="F65" s="22">
        <f>-(F63+F64)*Assumptions!$B$43</f>
        <v>-877428.33882596216</v>
      </c>
      <c r="G65" s="22">
        <f t="shared" si="6"/>
        <v>-10529140.065911546</v>
      </c>
      <c r="H65" s="25"/>
    </row>
    <row r="66" spans="1:8" ht="15" customHeight="1" x14ac:dyDescent="0.35">
      <c r="A66" s="2" t="s">
        <v>377</v>
      </c>
      <c r="B66" s="2"/>
      <c r="C66" s="2"/>
      <c r="D66" s="2"/>
      <c r="E66" s="2"/>
      <c r="F66" s="26">
        <f>F63+F64+F65</f>
        <v>2632285.0164778866</v>
      </c>
      <c r="G66" s="26">
        <f t="shared" si="6"/>
        <v>31587420.197734639</v>
      </c>
      <c r="H66" s="27"/>
    </row>
  </sheetData>
  <mergeCells count="15">
    <mergeCell ref="A60:H60"/>
    <mergeCell ref="A63:E63"/>
    <mergeCell ref="A64:E64"/>
    <mergeCell ref="A65:E65"/>
    <mergeCell ref="A66:E66"/>
    <mergeCell ref="A26:H26"/>
    <mergeCell ref="A34:H34"/>
    <mergeCell ref="A45:H45"/>
    <mergeCell ref="A50:H50"/>
    <mergeCell ref="A55:H55"/>
    <mergeCell ref="A1:H1"/>
    <mergeCell ref="A3:H3"/>
    <mergeCell ref="A8:H8"/>
    <mergeCell ref="A13:H13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zoomScaleNormal="100" workbookViewId="0">
      <selection sqref="A1:H1"/>
    </sheetView>
  </sheetViews>
  <sheetFormatPr defaultColWidth="8.6328125" defaultRowHeight="14.5" x14ac:dyDescent="0.35"/>
  <cols>
    <col min="1" max="1" width="38" customWidth="1"/>
    <col min="2" max="2" width="28" customWidth="1"/>
    <col min="3" max="4" width="14" customWidth="1"/>
    <col min="5" max="7" width="16" customWidth="1"/>
    <col min="8" max="8" width="50" customWidth="1"/>
  </cols>
  <sheetData>
    <row r="1" spans="1:8" ht="21.75" customHeight="1" x14ac:dyDescent="0.35">
      <c r="A1" s="6" t="s">
        <v>378</v>
      </c>
      <c r="B1" s="6"/>
      <c r="C1" s="6"/>
      <c r="D1" s="6"/>
      <c r="E1" s="6"/>
      <c r="F1" s="6"/>
      <c r="G1" s="6"/>
      <c r="H1" s="6"/>
    </row>
    <row r="2" spans="1:8" ht="26.25" customHeight="1" x14ac:dyDescent="0.35">
      <c r="A2" s="10" t="s">
        <v>185</v>
      </c>
      <c r="B2" s="10" t="s">
        <v>186</v>
      </c>
      <c r="C2" s="10" t="s">
        <v>187</v>
      </c>
      <c r="D2" s="10" t="s">
        <v>188</v>
      </c>
      <c r="E2" s="10" t="s">
        <v>189</v>
      </c>
      <c r="F2" s="10" t="s">
        <v>190</v>
      </c>
      <c r="G2" s="10" t="s">
        <v>191</v>
      </c>
      <c r="H2" s="10" t="s">
        <v>21</v>
      </c>
    </row>
    <row r="3" spans="1:8" ht="15" customHeight="1" x14ac:dyDescent="0.35">
      <c r="A3" s="5" t="s">
        <v>379</v>
      </c>
      <c r="B3" s="5"/>
      <c r="C3" s="5"/>
      <c r="D3" s="5"/>
      <c r="E3" s="5"/>
      <c r="F3" s="5"/>
      <c r="G3" s="5"/>
      <c r="H3" s="5"/>
    </row>
    <row r="4" spans="1:8" ht="23.25" customHeight="1" x14ac:dyDescent="0.35">
      <c r="A4" s="11" t="s">
        <v>380</v>
      </c>
      <c r="B4" s="11" t="s">
        <v>381</v>
      </c>
      <c r="C4" s="13" t="s">
        <v>199</v>
      </c>
      <c r="D4" s="15">
        <v>1.2E-2</v>
      </c>
      <c r="E4" s="18">
        <f>('Workload Sizing'!B9*1024*1024)*0.85</f>
        <v>83747048.950195313</v>
      </c>
      <c r="F4" s="22">
        <f t="shared" ref="F4:F9" si="0">D4*E4</f>
        <v>1004964.5874023438</v>
      </c>
      <c r="G4" s="22">
        <f t="shared" ref="G4:G9" si="1">F4*12</f>
        <v>12059575.048828125</v>
      </c>
      <c r="H4" s="11" t="s">
        <v>382</v>
      </c>
    </row>
    <row r="5" spans="1:8" ht="15" customHeight="1" x14ac:dyDescent="0.35">
      <c r="A5" s="11" t="s">
        <v>383</v>
      </c>
      <c r="B5" s="11" t="s">
        <v>384</v>
      </c>
      <c r="C5" s="13" t="s">
        <v>385</v>
      </c>
      <c r="D5" s="15">
        <v>0.01</v>
      </c>
      <c r="E5" s="18">
        <f>9000000</f>
        <v>9000000</v>
      </c>
      <c r="F5" s="22">
        <f t="shared" si="0"/>
        <v>90000</v>
      </c>
      <c r="G5" s="22">
        <f t="shared" si="1"/>
        <v>1080000</v>
      </c>
      <c r="H5" s="11" t="s">
        <v>386</v>
      </c>
    </row>
    <row r="6" spans="1:8" ht="15" customHeight="1" x14ac:dyDescent="0.35">
      <c r="A6" s="11" t="s">
        <v>387</v>
      </c>
      <c r="B6" s="11" t="s">
        <v>388</v>
      </c>
      <c r="C6" s="13" t="s">
        <v>203</v>
      </c>
      <c r="D6" s="15">
        <v>0.6</v>
      </c>
      <c r="E6" s="18">
        <f>90000</f>
        <v>90000</v>
      </c>
      <c r="F6" s="22">
        <f t="shared" si="0"/>
        <v>54000</v>
      </c>
      <c r="G6" s="22">
        <f t="shared" si="1"/>
        <v>648000</v>
      </c>
      <c r="H6" s="11"/>
    </row>
    <row r="7" spans="1:8" ht="15" customHeight="1" x14ac:dyDescent="0.35">
      <c r="A7" s="11" t="s">
        <v>389</v>
      </c>
      <c r="B7" s="11" t="s">
        <v>390</v>
      </c>
      <c r="C7" s="13" t="s">
        <v>391</v>
      </c>
      <c r="D7" s="15">
        <v>18</v>
      </c>
      <c r="E7" s="18">
        <f>2</f>
        <v>2</v>
      </c>
      <c r="F7" s="22">
        <f t="shared" si="0"/>
        <v>36</v>
      </c>
      <c r="G7" s="22">
        <f t="shared" si="1"/>
        <v>432</v>
      </c>
      <c r="H7" s="11" t="s">
        <v>392</v>
      </c>
    </row>
    <row r="8" spans="1:8" ht="15" customHeight="1" x14ac:dyDescent="0.35">
      <c r="A8" s="11" t="s">
        <v>393</v>
      </c>
      <c r="B8" s="11" t="s">
        <v>394</v>
      </c>
      <c r="C8" s="13" t="s">
        <v>395</v>
      </c>
      <c r="D8" s="15">
        <v>0.5</v>
      </c>
      <c r="E8" s="18">
        <f>12</f>
        <v>12</v>
      </c>
      <c r="F8" s="22">
        <f t="shared" si="0"/>
        <v>6</v>
      </c>
      <c r="G8" s="22">
        <f t="shared" si="1"/>
        <v>72</v>
      </c>
      <c r="H8" s="11" t="s">
        <v>396</v>
      </c>
    </row>
    <row r="9" spans="1:8" ht="15" customHeight="1" x14ac:dyDescent="0.35">
      <c r="A9" s="11" t="s">
        <v>397</v>
      </c>
      <c r="B9" s="11" t="s">
        <v>398</v>
      </c>
      <c r="C9" s="13" t="s">
        <v>399</v>
      </c>
      <c r="D9" s="15">
        <v>0.4</v>
      </c>
      <c r="E9" s="18">
        <f>4500</f>
        <v>4500</v>
      </c>
      <c r="F9" s="22">
        <f t="shared" si="0"/>
        <v>1800</v>
      </c>
      <c r="G9" s="22">
        <f t="shared" si="1"/>
        <v>21600</v>
      </c>
      <c r="H9" s="11" t="s">
        <v>400</v>
      </c>
    </row>
    <row r="10" spans="1:8" ht="15" customHeight="1" x14ac:dyDescent="0.35">
      <c r="A10" s="5" t="s">
        <v>401</v>
      </c>
      <c r="B10" s="5"/>
      <c r="C10" s="5"/>
      <c r="D10" s="5"/>
      <c r="E10" s="5"/>
      <c r="F10" s="5"/>
      <c r="G10" s="5"/>
      <c r="H10" s="5"/>
    </row>
    <row r="11" spans="1:8" ht="15" customHeight="1" x14ac:dyDescent="0.35">
      <c r="A11" s="11" t="s">
        <v>402</v>
      </c>
      <c r="B11" s="11" t="s">
        <v>403</v>
      </c>
      <c r="C11" s="13" t="s">
        <v>404</v>
      </c>
      <c r="D11" s="15">
        <v>1.45</v>
      </c>
      <c r="E11" s="18">
        <f>2*730</f>
        <v>1460</v>
      </c>
      <c r="F11" s="22">
        <f>D11*E11</f>
        <v>2117</v>
      </c>
      <c r="G11" s="22">
        <f>F11*12</f>
        <v>25404</v>
      </c>
      <c r="H11" s="11" t="s">
        <v>405</v>
      </c>
    </row>
    <row r="12" spans="1:8" ht="15" customHeight="1" x14ac:dyDescent="0.35">
      <c r="A12" s="11" t="s">
        <v>406</v>
      </c>
      <c r="B12" s="11" t="s">
        <v>407</v>
      </c>
      <c r="C12" s="13" t="s">
        <v>408</v>
      </c>
      <c r="D12" s="15">
        <v>0</v>
      </c>
      <c r="E12" s="18">
        <f>0</f>
        <v>0</v>
      </c>
      <c r="F12" s="22">
        <f>D12*E12</f>
        <v>0</v>
      </c>
      <c r="G12" s="22">
        <f>F12*12</f>
        <v>0</v>
      </c>
      <c r="H12" s="11" t="s">
        <v>409</v>
      </c>
    </row>
    <row r="13" spans="1:8" ht="23.25" customHeight="1" x14ac:dyDescent="0.35">
      <c r="A13" s="11" t="s">
        <v>410</v>
      </c>
      <c r="B13" s="11" t="s">
        <v>411</v>
      </c>
      <c r="C13" s="13" t="s">
        <v>231</v>
      </c>
      <c r="D13" s="15">
        <v>2.7499999999999998E-3</v>
      </c>
      <c r="E13" s="18">
        <f>(Assumptions!$B$4*0.1)</f>
        <v>100000</v>
      </c>
      <c r="F13" s="22">
        <f>D13*E13</f>
        <v>275</v>
      </c>
      <c r="G13" s="22">
        <f>F13*12</f>
        <v>3300</v>
      </c>
      <c r="H13" s="11" t="s">
        <v>412</v>
      </c>
    </row>
    <row r="14" spans="1:8" ht="15" customHeight="1" x14ac:dyDescent="0.35">
      <c r="A14" s="5" t="s">
        <v>413</v>
      </c>
      <c r="B14" s="5"/>
      <c r="C14" s="5"/>
      <c r="D14" s="5"/>
      <c r="E14" s="5"/>
      <c r="F14" s="5"/>
      <c r="G14" s="5"/>
      <c r="H14" s="5"/>
    </row>
    <row r="15" spans="1:8" ht="15" customHeight="1" x14ac:dyDescent="0.35">
      <c r="A15" s="11" t="s">
        <v>414</v>
      </c>
      <c r="B15" s="11" t="s">
        <v>415</v>
      </c>
      <c r="C15" s="13" t="s">
        <v>416</v>
      </c>
      <c r="D15" s="15">
        <v>73</v>
      </c>
      <c r="E15" s="18">
        <f>2</f>
        <v>2</v>
      </c>
      <c r="F15" s="22">
        <f t="shared" ref="F15:F21" si="2">D15*E15</f>
        <v>146</v>
      </c>
      <c r="G15" s="22">
        <f t="shared" ref="G15:G21" si="3">F15*12</f>
        <v>1752</v>
      </c>
      <c r="H15" s="11" t="s">
        <v>417</v>
      </c>
    </row>
    <row r="16" spans="1:8" ht="15" customHeight="1" x14ac:dyDescent="0.35">
      <c r="A16" s="11" t="s">
        <v>418</v>
      </c>
      <c r="B16" s="11" t="s">
        <v>419</v>
      </c>
      <c r="C16" s="13" t="s">
        <v>248</v>
      </c>
      <c r="D16" s="15">
        <v>557</v>
      </c>
      <c r="E16" s="18">
        <f>20</f>
        <v>20</v>
      </c>
      <c r="F16" s="22">
        <f t="shared" si="2"/>
        <v>11140</v>
      </c>
      <c r="G16" s="22">
        <f t="shared" si="3"/>
        <v>133680</v>
      </c>
      <c r="H16" s="11" t="s">
        <v>420</v>
      </c>
    </row>
    <row r="17" spans="1:8" ht="15" customHeight="1" x14ac:dyDescent="0.35">
      <c r="A17" s="11" t="s">
        <v>421</v>
      </c>
      <c r="B17" s="11" t="s">
        <v>422</v>
      </c>
      <c r="C17" s="13" t="s">
        <v>248</v>
      </c>
      <c r="D17" s="15">
        <v>1249</v>
      </c>
      <c r="E17" s="18">
        <f>10</f>
        <v>10</v>
      </c>
      <c r="F17" s="22">
        <f t="shared" si="2"/>
        <v>12490</v>
      </c>
      <c r="G17" s="22">
        <f t="shared" si="3"/>
        <v>149880</v>
      </c>
      <c r="H17" s="11" t="s">
        <v>423</v>
      </c>
    </row>
    <row r="18" spans="1:8" ht="15" customHeight="1" x14ac:dyDescent="0.35">
      <c r="A18" s="11" t="s">
        <v>424</v>
      </c>
      <c r="B18" s="11" t="s">
        <v>425</v>
      </c>
      <c r="C18" s="13" t="s">
        <v>248</v>
      </c>
      <c r="D18" s="15">
        <v>23914</v>
      </c>
      <c r="E18" s="18">
        <f>2</f>
        <v>2</v>
      </c>
      <c r="F18" s="22">
        <f t="shared" si="2"/>
        <v>47828</v>
      </c>
      <c r="G18" s="22">
        <f t="shared" si="3"/>
        <v>573936</v>
      </c>
      <c r="H18" s="11" t="s">
        <v>426</v>
      </c>
    </row>
    <row r="19" spans="1:8" ht="15" customHeight="1" x14ac:dyDescent="0.35">
      <c r="A19" s="11" t="s">
        <v>427</v>
      </c>
      <c r="B19" s="11" t="s">
        <v>428</v>
      </c>
      <c r="C19" s="13" t="s">
        <v>203</v>
      </c>
      <c r="D19" s="15">
        <v>0.2</v>
      </c>
      <c r="E19" s="18">
        <f>2000</f>
        <v>2000</v>
      </c>
      <c r="F19" s="22">
        <f t="shared" si="2"/>
        <v>400</v>
      </c>
      <c r="G19" s="22">
        <f t="shared" si="3"/>
        <v>4800</v>
      </c>
      <c r="H19" s="11" t="s">
        <v>429</v>
      </c>
    </row>
    <row r="20" spans="1:8" ht="15" customHeight="1" x14ac:dyDescent="0.35">
      <c r="A20" s="11" t="s">
        <v>430</v>
      </c>
      <c r="B20" s="11" t="s">
        <v>431</v>
      </c>
      <c r="C20" s="13" t="s">
        <v>432</v>
      </c>
      <c r="D20" s="15">
        <v>4.0480000000000002E-2</v>
      </c>
      <c r="E20" s="18">
        <f>500*730</f>
        <v>365000</v>
      </c>
      <c r="F20" s="22">
        <f t="shared" si="2"/>
        <v>14775.2</v>
      </c>
      <c r="G20" s="22">
        <f t="shared" si="3"/>
        <v>177302.40000000002</v>
      </c>
      <c r="H20" s="11"/>
    </row>
    <row r="21" spans="1:8" ht="15" customHeight="1" x14ac:dyDescent="0.35">
      <c r="A21" s="11" t="s">
        <v>433</v>
      </c>
      <c r="B21" s="11" t="s">
        <v>434</v>
      </c>
      <c r="C21" s="13" t="s">
        <v>435</v>
      </c>
      <c r="D21" s="15">
        <v>8.0000000000000002E-3</v>
      </c>
      <c r="E21" s="18">
        <f>4*730*100</f>
        <v>292000</v>
      </c>
      <c r="F21" s="22">
        <f t="shared" si="2"/>
        <v>2336</v>
      </c>
      <c r="G21" s="22">
        <f t="shared" si="3"/>
        <v>28032</v>
      </c>
      <c r="H21" s="11"/>
    </row>
    <row r="22" spans="1:8" ht="15" customHeight="1" x14ac:dyDescent="0.35">
      <c r="A22" s="5" t="s">
        <v>436</v>
      </c>
      <c r="B22" s="5"/>
      <c r="C22" s="5"/>
      <c r="D22" s="5"/>
      <c r="E22" s="5"/>
      <c r="F22" s="5"/>
      <c r="G22" s="5"/>
      <c r="H22" s="5"/>
    </row>
    <row r="23" spans="1:8" ht="15" customHeight="1" x14ac:dyDescent="0.35">
      <c r="A23" s="11" t="s">
        <v>437</v>
      </c>
      <c r="B23" s="11" t="s">
        <v>438</v>
      </c>
      <c r="C23" s="13" t="s">
        <v>439</v>
      </c>
      <c r="D23" s="15">
        <v>0.25</v>
      </c>
      <c r="E23" s="18">
        <f>('Workload Sizing'!B17/1000000)*0.3*0.85</f>
        <v>367200</v>
      </c>
      <c r="F23" s="22">
        <f t="shared" ref="F23:F28" si="4">D23*E23</f>
        <v>91800</v>
      </c>
      <c r="G23" s="22">
        <f t="shared" ref="G23:G28" si="5">F23*12</f>
        <v>1101600</v>
      </c>
      <c r="H23" s="11" t="s">
        <v>440</v>
      </c>
    </row>
    <row r="24" spans="1:8" ht="15" customHeight="1" x14ac:dyDescent="0.35">
      <c r="A24" s="11" t="s">
        <v>441</v>
      </c>
      <c r="B24" s="11"/>
      <c r="C24" s="13" t="s">
        <v>442</v>
      </c>
      <c r="D24" s="15">
        <v>1.25</v>
      </c>
      <c r="E24" s="18">
        <f>('Workload Sizing'!B18/1000000)*0.3*0.85</f>
        <v>64260</v>
      </c>
      <c r="F24" s="22">
        <f t="shared" si="4"/>
        <v>80325</v>
      </c>
      <c r="G24" s="22">
        <f t="shared" si="5"/>
        <v>963900</v>
      </c>
      <c r="H24" s="11"/>
    </row>
    <row r="25" spans="1:8" ht="15" customHeight="1" x14ac:dyDescent="0.35">
      <c r="A25" s="11" t="s">
        <v>443</v>
      </c>
      <c r="B25" s="11" t="s">
        <v>444</v>
      </c>
      <c r="C25" s="13" t="s">
        <v>439</v>
      </c>
      <c r="D25" s="15">
        <v>3</v>
      </c>
      <c r="E25" s="18">
        <f>('Workload Sizing'!B17/1000000)*0.3*0.15</f>
        <v>64800</v>
      </c>
      <c r="F25" s="22">
        <f t="shared" si="4"/>
        <v>194400</v>
      </c>
      <c r="G25" s="22">
        <f t="shared" si="5"/>
        <v>2332800</v>
      </c>
      <c r="H25" s="11"/>
    </row>
    <row r="26" spans="1:8" ht="15" customHeight="1" x14ac:dyDescent="0.35">
      <c r="A26" s="11" t="s">
        <v>445</v>
      </c>
      <c r="B26" s="11"/>
      <c r="C26" s="13" t="s">
        <v>442</v>
      </c>
      <c r="D26" s="15">
        <v>15</v>
      </c>
      <c r="E26" s="18">
        <f>('Workload Sizing'!B18/1000000)*0.3*0.15</f>
        <v>11340</v>
      </c>
      <c r="F26" s="22">
        <f t="shared" si="4"/>
        <v>170100</v>
      </c>
      <c r="G26" s="22">
        <f t="shared" si="5"/>
        <v>2041200</v>
      </c>
      <c r="H26" s="11"/>
    </row>
    <row r="27" spans="1:8" ht="15" customHeight="1" x14ac:dyDescent="0.35">
      <c r="A27" s="11" t="s">
        <v>446</v>
      </c>
      <c r="B27" s="11" t="s">
        <v>447</v>
      </c>
      <c r="C27" s="13" t="s">
        <v>448</v>
      </c>
      <c r="D27" s="15">
        <v>1008</v>
      </c>
      <c r="E27" s="18">
        <f>2</f>
        <v>2</v>
      </c>
      <c r="F27" s="22">
        <f t="shared" si="4"/>
        <v>2016</v>
      </c>
      <c r="G27" s="22">
        <f t="shared" si="5"/>
        <v>24192</v>
      </c>
      <c r="H27" s="11" t="s">
        <v>449</v>
      </c>
    </row>
    <row r="28" spans="1:8" ht="15" customHeight="1" x14ac:dyDescent="0.35">
      <c r="A28" s="11" t="s">
        <v>450</v>
      </c>
      <c r="B28" s="11" t="s">
        <v>451</v>
      </c>
      <c r="C28" s="13" t="s">
        <v>248</v>
      </c>
      <c r="D28" s="15">
        <v>1616</v>
      </c>
      <c r="E28" s="18">
        <f>4</f>
        <v>4</v>
      </c>
      <c r="F28" s="22">
        <f t="shared" si="4"/>
        <v>6464</v>
      </c>
      <c r="G28" s="22">
        <f t="shared" si="5"/>
        <v>77568</v>
      </c>
      <c r="H28" s="11" t="s">
        <v>452</v>
      </c>
    </row>
    <row r="29" spans="1:8" ht="15" customHeight="1" x14ac:dyDescent="0.35">
      <c r="A29" s="5" t="s">
        <v>453</v>
      </c>
      <c r="B29" s="5"/>
      <c r="C29" s="5"/>
      <c r="D29" s="5"/>
      <c r="E29" s="5"/>
      <c r="F29" s="5"/>
      <c r="G29" s="5"/>
      <c r="H29" s="5"/>
    </row>
    <row r="30" spans="1:8" ht="15" customHeight="1" x14ac:dyDescent="0.35">
      <c r="A30" s="11" t="s">
        <v>454</v>
      </c>
      <c r="B30" s="11" t="s">
        <v>455</v>
      </c>
      <c r="C30" s="13" t="s">
        <v>248</v>
      </c>
      <c r="D30" s="15">
        <v>4759</v>
      </c>
      <c r="E30" s="18">
        <f>3</f>
        <v>3</v>
      </c>
      <c r="F30" s="22">
        <f t="shared" ref="F30:F37" si="6">D30*E30</f>
        <v>14277</v>
      </c>
      <c r="G30" s="22">
        <f t="shared" ref="G30:G37" si="7">F30*12</f>
        <v>171324</v>
      </c>
      <c r="H30" s="11" t="s">
        <v>456</v>
      </c>
    </row>
    <row r="31" spans="1:8" ht="15" customHeight="1" x14ac:dyDescent="0.35">
      <c r="A31" s="11" t="s">
        <v>457</v>
      </c>
      <c r="B31" s="11"/>
      <c r="C31" s="13" t="s">
        <v>293</v>
      </c>
      <c r="D31" s="15">
        <v>0.1</v>
      </c>
      <c r="E31" s="18">
        <f>8000</f>
        <v>8000</v>
      </c>
      <c r="F31" s="22">
        <f t="shared" si="6"/>
        <v>800</v>
      </c>
      <c r="G31" s="22">
        <f t="shared" si="7"/>
        <v>9600</v>
      </c>
      <c r="H31" s="11"/>
    </row>
    <row r="32" spans="1:8" ht="15" customHeight="1" x14ac:dyDescent="0.35">
      <c r="A32" s="11" t="s">
        <v>458</v>
      </c>
      <c r="B32" s="11" t="s">
        <v>459</v>
      </c>
      <c r="C32" s="13" t="s">
        <v>293</v>
      </c>
      <c r="D32" s="15">
        <v>3.5999999999999997E-2</v>
      </c>
      <c r="E32" s="18">
        <f>5000</f>
        <v>5000</v>
      </c>
      <c r="F32" s="22">
        <f t="shared" si="6"/>
        <v>180</v>
      </c>
      <c r="G32" s="22">
        <f t="shared" si="7"/>
        <v>2160</v>
      </c>
      <c r="H32" s="11" t="s">
        <v>460</v>
      </c>
    </row>
    <row r="33" spans="1:8" ht="15" customHeight="1" x14ac:dyDescent="0.35">
      <c r="A33" s="11" t="s">
        <v>461</v>
      </c>
      <c r="B33" s="11"/>
      <c r="C33" s="13" t="s">
        <v>293</v>
      </c>
      <c r="D33" s="15">
        <v>0.03</v>
      </c>
      <c r="E33" s="18">
        <f>100000</f>
        <v>100000</v>
      </c>
      <c r="F33" s="22">
        <f t="shared" si="6"/>
        <v>3000</v>
      </c>
      <c r="G33" s="22">
        <f t="shared" si="7"/>
        <v>36000</v>
      </c>
      <c r="H33" s="11" t="s">
        <v>462</v>
      </c>
    </row>
    <row r="34" spans="1:8" ht="15" customHeight="1" x14ac:dyDescent="0.35">
      <c r="A34" s="11" t="s">
        <v>463</v>
      </c>
      <c r="B34" s="11" t="s">
        <v>464</v>
      </c>
      <c r="C34" s="13" t="s">
        <v>293</v>
      </c>
      <c r="D34" s="15">
        <v>2.3E-2</v>
      </c>
      <c r="E34" s="18">
        <f>('Workload Sizing'!B11*1024*1024)*0.3</f>
        <v>1650000</v>
      </c>
      <c r="F34" s="22">
        <f t="shared" si="6"/>
        <v>37950</v>
      </c>
      <c r="G34" s="22">
        <f t="shared" si="7"/>
        <v>455400</v>
      </c>
      <c r="H34" s="11" t="s">
        <v>465</v>
      </c>
    </row>
    <row r="35" spans="1:8" ht="15" customHeight="1" x14ac:dyDescent="0.35">
      <c r="A35" s="11" t="s">
        <v>466</v>
      </c>
      <c r="B35" s="11" t="s">
        <v>467</v>
      </c>
      <c r="C35" s="13" t="s">
        <v>293</v>
      </c>
      <c r="D35" s="15">
        <v>1.2500000000000001E-2</v>
      </c>
      <c r="E35" s="18">
        <f>('Workload Sizing'!B14*1024*1024)*0.3</f>
        <v>385483.72685909271</v>
      </c>
      <c r="F35" s="22">
        <f t="shared" si="6"/>
        <v>4818.5465857386589</v>
      </c>
      <c r="G35" s="22">
        <f t="shared" si="7"/>
        <v>57822.559028863907</v>
      </c>
      <c r="H35" s="11" t="s">
        <v>468</v>
      </c>
    </row>
    <row r="36" spans="1:8" ht="15" customHeight="1" x14ac:dyDescent="0.35">
      <c r="A36" s="11" t="s">
        <v>469</v>
      </c>
      <c r="B36" s="11" t="s">
        <v>470</v>
      </c>
      <c r="C36" s="13" t="s">
        <v>293</v>
      </c>
      <c r="D36" s="15">
        <v>9.8999999999999999E-4</v>
      </c>
      <c r="E36" s="18">
        <f>('Workload Sizing'!B12*1024*1024)</f>
        <v>4400000</v>
      </c>
      <c r="F36" s="22">
        <f t="shared" si="6"/>
        <v>4356</v>
      </c>
      <c r="G36" s="22">
        <f t="shared" si="7"/>
        <v>52272</v>
      </c>
      <c r="H36" s="11" t="s">
        <v>471</v>
      </c>
    </row>
    <row r="37" spans="1:8" ht="15" customHeight="1" x14ac:dyDescent="0.35">
      <c r="A37" s="11" t="s">
        <v>472</v>
      </c>
      <c r="B37" s="11" t="s">
        <v>473</v>
      </c>
      <c r="C37" s="13" t="s">
        <v>474</v>
      </c>
      <c r="D37" s="15">
        <v>3.75</v>
      </c>
      <c r="E37" s="18">
        <f>900</f>
        <v>900</v>
      </c>
      <c r="F37" s="22">
        <f t="shared" si="6"/>
        <v>3375</v>
      </c>
      <c r="G37" s="22">
        <f t="shared" si="7"/>
        <v>40500</v>
      </c>
      <c r="H37" s="11" t="s">
        <v>475</v>
      </c>
    </row>
    <row r="38" spans="1:8" ht="15" customHeight="1" x14ac:dyDescent="0.35">
      <c r="A38" s="5" t="s">
        <v>476</v>
      </c>
      <c r="B38" s="5"/>
      <c r="C38" s="5"/>
      <c r="D38" s="5"/>
      <c r="E38" s="5"/>
      <c r="F38" s="5"/>
      <c r="G38" s="5"/>
      <c r="H38" s="5"/>
    </row>
    <row r="39" spans="1:8" ht="15" customHeight="1" x14ac:dyDescent="0.35">
      <c r="A39" s="11" t="s">
        <v>477</v>
      </c>
      <c r="B39" s="11" t="s">
        <v>478</v>
      </c>
      <c r="C39" s="13" t="s">
        <v>479</v>
      </c>
      <c r="D39" s="15">
        <v>1249</v>
      </c>
      <c r="E39" s="18">
        <f>6</f>
        <v>6</v>
      </c>
      <c r="F39" s="22">
        <f>D39*E39</f>
        <v>7494</v>
      </c>
      <c r="G39" s="22">
        <f>F39*12</f>
        <v>89928</v>
      </c>
      <c r="H39" s="11" t="s">
        <v>480</v>
      </c>
    </row>
    <row r="40" spans="1:8" ht="15" customHeight="1" x14ac:dyDescent="0.35">
      <c r="A40" s="11" t="s">
        <v>481</v>
      </c>
      <c r="B40" s="11" t="s">
        <v>482</v>
      </c>
      <c r="C40" s="13" t="s">
        <v>203</v>
      </c>
      <c r="D40" s="15">
        <v>0.5</v>
      </c>
      <c r="E40" s="18">
        <f>8000</f>
        <v>8000</v>
      </c>
      <c r="F40" s="22">
        <f>D40*E40</f>
        <v>4000</v>
      </c>
      <c r="G40" s="22">
        <f>F40*12</f>
        <v>48000</v>
      </c>
      <c r="H40" s="11"/>
    </row>
    <row r="41" spans="1:8" ht="15" customHeight="1" x14ac:dyDescent="0.35">
      <c r="A41" s="11" t="s">
        <v>483</v>
      </c>
      <c r="B41" s="11" t="s">
        <v>484</v>
      </c>
      <c r="C41" s="13" t="s">
        <v>485</v>
      </c>
      <c r="D41" s="15">
        <v>1</v>
      </c>
      <c r="E41" s="18">
        <f>9000</f>
        <v>9000</v>
      </c>
      <c r="F41" s="22">
        <f>D41*E41</f>
        <v>9000</v>
      </c>
      <c r="G41" s="22">
        <f>F41*12</f>
        <v>108000</v>
      </c>
      <c r="H41" s="11"/>
    </row>
    <row r="42" spans="1:8" ht="23.25" customHeight="1" x14ac:dyDescent="0.35">
      <c r="A42" s="11" t="s">
        <v>486</v>
      </c>
      <c r="B42" s="11" t="s">
        <v>487</v>
      </c>
      <c r="C42" s="13" t="s">
        <v>488</v>
      </c>
      <c r="D42" s="15">
        <v>2.5000000000000001E-2</v>
      </c>
      <c r="E42" s="18">
        <f>300000</f>
        <v>300000</v>
      </c>
      <c r="F42" s="22">
        <f>D42*E42</f>
        <v>7500</v>
      </c>
      <c r="G42" s="22">
        <f>F42*12</f>
        <v>90000</v>
      </c>
      <c r="H42" s="11" t="s">
        <v>489</v>
      </c>
    </row>
    <row r="43" spans="1:8" ht="15" customHeight="1" x14ac:dyDescent="0.35">
      <c r="A43" s="5" t="s">
        <v>490</v>
      </c>
      <c r="B43" s="5"/>
      <c r="C43" s="5"/>
      <c r="D43" s="5"/>
      <c r="E43" s="5"/>
      <c r="F43" s="5"/>
      <c r="G43" s="5"/>
      <c r="H43" s="5"/>
    </row>
    <row r="44" spans="1:8" ht="15" customHeight="1" x14ac:dyDescent="0.35">
      <c r="A44" s="11" t="s">
        <v>491</v>
      </c>
      <c r="B44" s="11" t="s">
        <v>492</v>
      </c>
      <c r="C44" s="13" t="s">
        <v>493</v>
      </c>
      <c r="D44" s="15">
        <v>1620</v>
      </c>
      <c r="E44" s="18">
        <f>2</f>
        <v>2</v>
      </c>
      <c r="F44" s="22">
        <f>D44*E44</f>
        <v>3240</v>
      </c>
      <c r="G44" s="22">
        <f>F44*12</f>
        <v>38880</v>
      </c>
      <c r="H44" s="11" t="s">
        <v>494</v>
      </c>
    </row>
    <row r="45" spans="1:8" ht="15" customHeight="1" x14ac:dyDescent="0.35">
      <c r="A45" s="11" t="s">
        <v>495</v>
      </c>
      <c r="B45" s="11" t="s">
        <v>496</v>
      </c>
      <c r="C45" s="13" t="s">
        <v>199</v>
      </c>
      <c r="D45" s="15">
        <v>0.02</v>
      </c>
      <c r="E45" s="18">
        <f>50000</f>
        <v>50000</v>
      </c>
      <c r="F45" s="22">
        <f>D45*E45</f>
        <v>1000</v>
      </c>
      <c r="G45" s="22">
        <f>F45*12</f>
        <v>12000</v>
      </c>
      <c r="H45" s="11"/>
    </row>
    <row r="46" spans="1:8" ht="15" customHeight="1" x14ac:dyDescent="0.35">
      <c r="A46" s="11" t="s">
        <v>497</v>
      </c>
      <c r="B46" s="11" t="s">
        <v>498</v>
      </c>
      <c r="C46" s="13" t="s">
        <v>499</v>
      </c>
      <c r="D46" s="15">
        <v>36.5</v>
      </c>
      <c r="E46" s="18">
        <f>12</f>
        <v>12</v>
      </c>
      <c r="F46" s="22">
        <f>D46*E46</f>
        <v>438</v>
      </c>
      <c r="G46" s="22">
        <f>F46*12</f>
        <v>5256</v>
      </c>
      <c r="H46" s="11"/>
    </row>
    <row r="47" spans="1:8" ht="15" customHeight="1" x14ac:dyDescent="0.35">
      <c r="A47" s="5" t="s">
        <v>500</v>
      </c>
      <c r="B47" s="5"/>
      <c r="C47" s="5"/>
      <c r="D47" s="5"/>
      <c r="E47" s="5"/>
      <c r="F47" s="5"/>
      <c r="G47" s="5"/>
      <c r="H47" s="5"/>
    </row>
    <row r="48" spans="1:8" ht="15" customHeight="1" x14ac:dyDescent="0.35">
      <c r="A48" s="11" t="s">
        <v>501</v>
      </c>
      <c r="B48" s="11" t="s">
        <v>502</v>
      </c>
      <c r="C48" s="13" t="s">
        <v>503</v>
      </c>
      <c r="D48" s="15">
        <v>1</v>
      </c>
      <c r="E48" s="18">
        <f>30000</f>
        <v>30000</v>
      </c>
      <c r="F48" s="22">
        <f>D48*E48</f>
        <v>30000</v>
      </c>
      <c r="G48" s="22">
        <f t="shared" ref="G48:G55" si="8">F48*12</f>
        <v>360000</v>
      </c>
      <c r="H48" s="11" t="s">
        <v>504</v>
      </c>
    </row>
    <row r="49" spans="1:8" ht="15" customHeight="1" x14ac:dyDescent="0.35">
      <c r="A49" s="11" t="s">
        <v>505</v>
      </c>
      <c r="B49" s="11" t="s">
        <v>506</v>
      </c>
      <c r="C49" s="13" t="s">
        <v>507</v>
      </c>
      <c r="D49" s="15">
        <v>9</v>
      </c>
      <c r="E49" s="18">
        <f>12</f>
        <v>12</v>
      </c>
      <c r="F49" s="22">
        <f>D49*E49</f>
        <v>108</v>
      </c>
      <c r="G49" s="22">
        <f t="shared" si="8"/>
        <v>1296</v>
      </c>
      <c r="H49" s="11"/>
    </row>
    <row r="50" spans="1:8" ht="15" customHeight="1" x14ac:dyDescent="0.35">
      <c r="A50" s="11" t="s">
        <v>508</v>
      </c>
      <c r="B50" s="11" t="s">
        <v>509</v>
      </c>
      <c r="C50" s="13" t="s">
        <v>199</v>
      </c>
      <c r="D50" s="15">
        <v>0.5</v>
      </c>
      <c r="E50" s="18">
        <f>40000</f>
        <v>40000</v>
      </c>
      <c r="F50" s="22">
        <f>D50*E50</f>
        <v>20000</v>
      </c>
      <c r="G50" s="22">
        <f t="shared" si="8"/>
        <v>240000</v>
      </c>
      <c r="H50" s="11" t="s">
        <v>510</v>
      </c>
    </row>
    <row r="51" spans="1:8" ht="15" customHeight="1" x14ac:dyDescent="0.35">
      <c r="A51" s="11" t="s">
        <v>511</v>
      </c>
      <c r="B51" s="11" t="s">
        <v>512</v>
      </c>
      <c r="C51" s="13" t="s">
        <v>513</v>
      </c>
      <c r="D51" s="15">
        <v>0.3</v>
      </c>
      <c r="E51" s="18">
        <f>80000</f>
        <v>80000</v>
      </c>
      <c r="F51" s="22">
        <f>D51*E51</f>
        <v>24000</v>
      </c>
      <c r="G51" s="22">
        <f t="shared" si="8"/>
        <v>288000</v>
      </c>
      <c r="H51" s="11"/>
    </row>
    <row r="52" spans="1:8" ht="15" customHeight="1" x14ac:dyDescent="0.35">
      <c r="A52" s="4" t="s">
        <v>514</v>
      </c>
      <c r="B52" s="4"/>
      <c r="C52" s="4"/>
      <c r="D52" s="4"/>
      <c r="E52" s="4"/>
      <c r="F52" s="23">
        <f>SUMIF(C4:C51,"&lt;&gt;",F4:F51)</f>
        <v>1962955.3339880824</v>
      </c>
      <c r="G52" s="23">
        <f t="shared" si="8"/>
        <v>23555464.007856987</v>
      </c>
      <c r="H52" s="24"/>
    </row>
    <row r="53" spans="1:8" ht="15" customHeight="1" x14ac:dyDescent="0.35">
      <c r="A53" s="3" t="s">
        <v>515</v>
      </c>
      <c r="B53" s="3"/>
      <c r="C53" s="3"/>
      <c r="D53" s="3"/>
      <c r="E53" s="3"/>
      <c r="F53" s="22">
        <f>-F52*0.1</f>
        <v>-196295.53339880824</v>
      </c>
      <c r="G53" s="22">
        <f t="shared" si="8"/>
        <v>-2355546.400785699</v>
      </c>
      <c r="H53" s="25"/>
    </row>
    <row r="54" spans="1:8" ht="15" customHeight="1" x14ac:dyDescent="0.35">
      <c r="A54" s="3" t="s">
        <v>516</v>
      </c>
      <c r="B54" s="3"/>
      <c r="C54" s="3"/>
      <c r="D54" s="3"/>
      <c r="E54" s="3"/>
      <c r="F54" s="22">
        <f>-(F52+F53)*Assumptions!$B$43</f>
        <v>-441664.95014731854</v>
      </c>
      <c r="G54" s="22">
        <f t="shared" si="8"/>
        <v>-5299979.401767822</v>
      </c>
      <c r="H54" s="25"/>
    </row>
    <row r="55" spans="1:8" ht="15" customHeight="1" x14ac:dyDescent="0.35">
      <c r="A55" s="2" t="s">
        <v>517</v>
      </c>
      <c r="B55" s="2"/>
      <c r="C55" s="2"/>
      <c r="D55" s="2"/>
      <c r="E55" s="2"/>
      <c r="F55" s="26">
        <f>F52+F53+F54</f>
        <v>1324994.8504419555</v>
      </c>
      <c r="G55" s="26">
        <f t="shared" si="8"/>
        <v>15899938.205303466</v>
      </c>
      <c r="H55" s="27"/>
    </row>
  </sheetData>
  <mergeCells count="13">
    <mergeCell ref="A53:E53"/>
    <mergeCell ref="A54:E54"/>
    <mergeCell ref="A55:E55"/>
    <mergeCell ref="A29:H29"/>
    <mergeCell ref="A38:H38"/>
    <mergeCell ref="A43:H43"/>
    <mergeCell ref="A47:H47"/>
    <mergeCell ref="A52:E52"/>
    <mergeCell ref="A1:H1"/>
    <mergeCell ref="A3:H3"/>
    <mergeCell ref="A10:H10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tabSelected="1" zoomScaleNormal="100" workbookViewId="0">
      <selection activeCell="B23" sqref="B23"/>
    </sheetView>
  </sheetViews>
  <sheetFormatPr defaultColWidth="8.6328125" defaultRowHeight="14.5" x14ac:dyDescent="0.35"/>
  <cols>
    <col min="1" max="1" width="44" customWidth="1"/>
    <col min="2" max="4" width="18" customWidth="1"/>
    <col min="5" max="5" width="60" customWidth="1"/>
  </cols>
  <sheetData>
    <row r="1" spans="1:5" ht="21.75" customHeight="1" x14ac:dyDescent="0.35">
      <c r="A1" s="6" t="s">
        <v>518</v>
      </c>
      <c r="B1" s="6"/>
      <c r="C1" s="6"/>
      <c r="D1" s="6"/>
      <c r="E1" s="6"/>
    </row>
    <row r="2" spans="1:5" ht="15" customHeight="1" x14ac:dyDescent="0.35">
      <c r="A2" s="10" t="s">
        <v>519</v>
      </c>
      <c r="B2" s="10" t="s">
        <v>520</v>
      </c>
      <c r="C2" s="10" t="s">
        <v>521</v>
      </c>
      <c r="D2" s="10" t="s">
        <v>522</v>
      </c>
      <c r="E2" s="10" t="s">
        <v>523</v>
      </c>
    </row>
    <row r="3" spans="1:5" ht="15" customHeight="1" x14ac:dyDescent="0.35">
      <c r="A3" s="11" t="s">
        <v>524</v>
      </c>
      <c r="B3" s="28">
        <f>('Workload Sizing'!B17/1000000)*0.85*Assumptions!$B$35+('Workload Sizing'!B18/1000000)*0.85*Assumptions!$B$36</f>
        <v>312120</v>
      </c>
      <c r="C3" s="22">
        <f t="shared" ref="C3:C20" si="0">B3*12</f>
        <v>3745440</v>
      </c>
      <c r="D3" s="29">
        <f t="shared" ref="D3:D19" si="1">B3/$B$20</f>
        <v>0.11965220872153043</v>
      </c>
      <c r="E3" s="11" t="s">
        <v>525</v>
      </c>
    </row>
    <row r="4" spans="1:5" ht="15" customHeight="1" x14ac:dyDescent="0.35">
      <c r="A4" s="11" t="s">
        <v>526</v>
      </c>
      <c r="B4" s="28">
        <f>('Workload Sizing'!B17/1000000)*0.15*Assumptions!$B$37+('Workload Sizing'!B18/1000000)*0.15*Assumptions!$B$38</f>
        <v>918000</v>
      </c>
      <c r="C4" s="22">
        <f t="shared" si="0"/>
        <v>11016000</v>
      </c>
      <c r="D4" s="29">
        <f t="shared" si="1"/>
        <v>0.35191826094567774</v>
      </c>
      <c r="E4" s="11" t="s">
        <v>527</v>
      </c>
    </row>
    <row r="5" spans="1:5" ht="15" customHeight="1" x14ac:dyDescent="0.35">
      <c r="A5" s="11" t="s">
        <v>528</v>
      </c>
      <c r="B5" s="28">
        <f>('Workload Sizing'!B17/1000000)*0.3*0.85*0.25+('Workload Sizing'!B18/1000000)*0.3*0.85*1.25+('Workload Sizing'!B17/1000000)*0.3*0.15*3+('Workload Sizing'!B18/1000000)*0.3*0.15*15</f>
        <v>536625</v>
      </c>
      <c r="C5" s="22">
        <f t="shared" si="0"/>
        <v>6439500</v>
      </c>
      <c r="D5" s="29">
        <f t="shared" si="1"/>
        <v>0.2057169245969219</v>
      </c>
      <c r="E5" s="11" t="s">
        <v>529</v>
      </c>
    </row>
    <row r="6" spans="1:5" ht="15" customHeight="1" x14ac:dyDescent="0.35">
      <c r="A6" s="11" t="s">
        <v>530</v>
      </c>
      <c r="B6" s="22">
        <f>6*1679+5*5489</f>
        <v>37519</v>
      </c>
      <c r="C6" s="22">
        <f t="shared" si="0"/>
        <v>450228</v>
      </c>
      <c r="D6" s="29">
        <f t="shared" si="1"/>
        <v>1.4383029664946496E-2</v>
      </c>
      <c r="E6" s="11" t="s">
        <v>531</v>
      </c>
    </row>
    <row r="7" spans="1:5" ht="15" customHeight="1" x14ac:dyDescent="0.35">
      <c r="A7" s="11" t="s">
        <v>532</v>
      </c>
      <c r="B7" s="22">
        <f>40*583</f>
        <v>23320</v>
      </c>
      <c r="C7" s="22">
        <f t="shared" si="0"/>
        <v>279840</v>
      </c>
      <c r="D7" s="29">
        <f t="shared" si="1"/>
        <v>8.9397972170514213E-3</v>
      </c>
      <c r="E7" s="11" t="s">
        <v>533</v>
      </c>
    </row>
    <row r="8" spans="1:5" ht="15" customHeight="1" x14ac:dyDescent="0.35">
      <c r="A8" s="11" t="s">
        <v>534</v>
      </c>
      <c r="B8" s="22">
        <f>8*17520</f>
        <v>140160</v>
      </c>
      <c r="C8" s="22">
        <f t="shared" si="0"/>
        <v>1681920</v>
      </c>
      <c r="D8" s="29">
        <f t="shared" si="1"/>
        <v>5.3730788076411969E-2</v>
      </c>
      <c r="E8" s="11" t="s">
        <v>535</v>
      </c>
    </row>
    <row r="9" spans="1:5" ht="15" customHeight="1" x14ac:dyDescent="0.35">
      <c r="A9" s="11" t="s">
        <v>287</v>
      </c>
      <c r="B9" s="22">
        <f>300000*0.1*730*2*0.00016 + 8000*0.25</f>
        <v>9008</v>
      </c>
      <c r="C9" s="22">
        <f t="shared" si="0"/>
        <v>108096</v>
      </c>
      <c r="D9" s="29">
        <f t="shared" si="1"/>
        <v>3.4532458546826417E-3</v>
      </c>
      <c r="E9" s="11" t="s">
        <v>536</v>
      </c>
    </row>
    <row r="10" spans="1:5" ht="15" customHeight="1" x14ac:dyDescent="0.35">
      <c r="A10" s="11" t="s">
        <v>537</v>
      </c>
      <c r="B10" s="22">
        <f>4*730*4.3</f>
        <v>12556</v>
      </c>
      <c r="C10" s="22">
        <f t="shared" si="0"/>
        <v>150672</v>
      </c>
      <c r="D10" s="29">
        <f t="shared" si="1"/>
        <v>4.8133830985119053E-3</v>
      </c>
      <c r="E10" s="11" t="s">
        <v>538</v>
      </c>
    </row>
    <row r="11" spans="1:5" ht="15" customHeight="1" x14ac:dyDescent="0.35">
      <c r="A11" s="11" t="s">
        <v>539</v>
      </c>
      <c r="B11" s="28">
        <f>('Workload Sizing'!B14*1024*1024)*(0.1*0.0198+0.3*0.01+0.6*0.00099)</f>
        <v>7162.2876450419426</v>
      </c>
      <c r="C11" s="22">
        <f t="shared" si="0"/>
        <v>85947.451740503311</v>
      </c>
      <c r="D11" s="29">
        <f t="shared" si="1"/>
        <v>2.7456860701915837E-3</v>
      </c>
      <c r="E11" s="11" t="s">
        <v>540</v>
      </c>
    </row>
    <row r="12" spans="1:5" ht="15" customHeight="1" x14ac:dyDescent="0.35">
      <c r="A12" s="11" t="s">
        <v>541</v>
      </c>
      <c r="B12" s="22">
        <f>300000000*30*0.000005 + 2*3195 + 5000000/10000*0.15</f>
        <v>51465.000000000007</v>
      </c>
      <c r="C12" s="22">
        <f t="shared" si="0"/>
        <v>617580.00000000012</v>
      </c>
      <c r="D12" s="29">
        <f t="shared" si="1"/>
        <v>1.9729273746807524E-2</v>
      </c>
      <c r="E12" s="11" t="s">
        <v>542</v>
      </c>
    </row>
    <row r="13" spans="1:5" ht="15" customHeight="1" x14ac:dyDescent="0.35">
      <c r="A13" s="11" t="s">
        <v>543</v>
      </c>
      <c r="B13" s="22">
        <f>4*730*1.1 + 8*693 + 9000*0.6 + 25000*0.0004</f>
        <v>14166</v>
      </c>
      <c r="C13" s="22">
        <f t="shared" si="0"/>
        <v>169992</v>
      </c>
      <c r="D13" s="29">
        <f t="shared" si="1"/>
        <v>5.4305817914558499E-3</v>
      </c>
      <c r="E13" s="11" t="s">
        <v>544</v>
      </c>
    </row>
    <row r="14" spans="1:5" ht="15" customHeight="1" x14ac:dyDescent="0.35">
      <c r="A14" s="11" t="s">
        <v>545</v>
      </c>
      <c r="B14" s="22">
        <f>(300000+120000+45000)*2.76*0.35</f>
        <v>449190</v>
      </c>
      <c r="C14" s="22">
        <f t="shared" si="0"/>
        <v>5390280</v>
      </c>
      <c r="D14" s="29">
        <f t="shared" si="1"/>
        <v>0.17219843533136053</v>
      </c>
      <c r="E14" s="11" t="s">
        <v>546</v>
      </c>
    </row>
    <row r="15" spans="1:5" ht="15" customHeight="1" x14ac:dyDescent="0.35">
      <c r="A15" s="11" t="s">
        <v>547</v>
      </c>
      <c r="B15" s="22">
        <f>3*3900 + 500*0.13</f>
        <v>11765</v>
      </c>
      <c r="C15" s="22">
        <f t="shared" si="0"/>
        <v>141180</v>
      </c>
      <c r="D15" s="29">
        <f t="shared" si="1"/>
        <v>4.5101506971959677E-3</v>
      </c>
      <c r="E15" s="11" t="s">
        <v>548</v>
      </c>
    </row>
    <row r="16" spans="1:5" ht="15" customHeight="1" x14ac:dyDescent="0.35">
      <c r="A16" s="11" t="s">
        <v>549</v>
      </c>
      <c r="B16" s="22">
        <f>260000*0.5*0.5 + 4*2795*0.4</f>
        <v>69472</v>
      </c>
      <c r="C16" s="22">
        <f t="shared" si="0"/>
        <v>833664</v>
      </c>
      <c r="D16" s="29">
        <f t="shared" si="1"/>
        <v>2.6632315277143923E-2</v>
      </c>
      <c r="E16" s="11" t="s">
        <v>550</v>
      </c>
    </row>
    <row r="17" spans="1:5" ht="15" customHeight="1" x14ac:dyDescent="0.35">
      <c r="A17" s="11" t="s">
        <v>213</v>
      </c>
      <c r="B17" s="22">
        <f>6500</f>
        <v>6500</v>
      </c>
      <c r="C17" s="22">
        <f t="shared" si="0"/>
        <v>78000</v>
      </c>
      <c r="D17" s="29">
        <f t="shared" si="1"/>
        <v>2.4917959653016396E-3</v>
      </c>
      <c r="E17" s="11" t="s">
        <v>551</v>
      </c>
    </row>
    <row r="18" spans="1:5" ht="15" customHeight="1" x14ac:dyDescent="0.35">
      <c r="A18" s="11" t="s">
        <v>552</v>
      </c>
      <c r="B18" s="22">
        <f>800*9</f>
        <v>7200</v>
      </c>
      <c r="C18" s="22">
        <f t="shared" si="0"/>
        <v>86400</v>
      </c>
      <c r="D18" s="29">
        <f t="shared" si="1"/>
        <v>2.7601432231033549E-3</v>
      </c>
      <c r="E18" s="11" t="s">
        <v>553</v>
      </c>
    </row>
    <row r="19" spans="1:5" ht="15" customHeight="1" x14ac:dyDescent="0.35">
      <c r="A19" s="11" t="s">
        <v>554</v>
      </c>
      <c r="B19" s="22">
        <f>4*583</f>
        <v>2332</v>
      </c>
      <c r="C19" s="22">
        <f t="shared" si="0"/>
        <v>27984</v>
      </c>
      <c r="D19" s="29">
        <f t="shared" si="1"/>
        <v>8.9397972170514209E-4</v>
      </c>
      <c r="E19" s="11" t="s">
        <v>555</v>
      </c>
    </row>
    <row r="20" spans="1:5" ht="15" customHeight="1" x14ac:dyDescent="0.35">
      <c r="A20" s="30" t="s">
        <v>556</v>
      </c>
      <c r="B20" s="31">
        <f>SUM(B3:B19)</f>
        <v>2608560.2876450419</v>
      </c>
      <c r="C20" s="31">
        <f t="shared" si="0"/>
        <v>31302723.451740503</v>
      </c>
      <c r="D20" s="32">
        <f>1</f>
        <v>1</v>
      </c>
      <c r="E20" s="24"/>
    </row>
    <row r="22" spans="1:5" ht="15" customHeight="1" x14ac:dyDescent="0.35">
      <c r="A22" s="33" t="s">
        <v>557</v>
      </c>
      <c r="B22" s="34">
        <f>B20*(1-Assumptions!$B$44)*(1-Assumptions!$B$43)</f>
        <v>1799906.5984750791</v>
      </c>
      <c r="C22" s="34">
        <f>B22*12</f>
        <v>21598879.181700949</v>
      </c>
      <c r="D22" s="25"/>
      <c r="E22" s="25"/>
    </row>
    <row r="23" spans="1:5" ht="23.25" customHeight="1" x14ac:dyDescent="0.35">
      <c r="A23" s="33" t="s">
        <v>695</v>
      </c>
      <c r="B23" s="35">
        <f>(C22/Assumptions!$B$4)/12</f>
        <v>1.7999065984750791</v>
      </c>
      <c r="C23" s="25"/>
      <c r="D23" s="25"/>
      <c r="E23" s="25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zoomScaleNormal="100" workbookViewId="0"/>
  </sheetViews>
  <sheetFormatPr defaultColWidth="8.6328125" defaultRowHeight="14.5" x14ac:dyDescent="0.35"/>
  <cols>
    <col min="1" max="1" width="42" customWidth="1"/>
    <col min="2" max="7" width="16" customWidth="1"/>
  </cols>
  <sheetData>
    <row r="1" spans="1:7" ht="21.75" customHeight="1" x14ac:dyDescent="0.35">
      <c r="A1" s="6" t="s">
        <v>558</v>
      </c>
      <c r="B1" s="6"/>
      <c r="C1" s="6"/>
      <c r="D1" s="6"/>
      <c r="E1" s="6"/>
      <c r="F1" s="6"/>
      <c r="G1" s="6"/>
    </row>
    <row r="2" spans="1:7" ht="15" customHeight="1" x14ac:dyDescent="0.35">
      <c r="A2" s="10"/>
      <c r="B2" s="10" t="s">
        <v>559</v>
      </c>
      <c r="C2" s="10" t="s">
        <v>560</v>
      </c>
      <c r="D2" s="10" t="s">
        <v>561</v>
      </c>
      <c r="E2" s="10" t="s">
        <v>562</v>
      </c>
      <c r="F2" s="10" t="s">
        <v>563</v>
      </c>
      <c r="G2" s="10" t="s">
        <v>564</v>
      </c>
    </row>
    <row r="3" spans="1:7" ht="15" customHeight="1" x14ac:dyDescent="0.35">
      <c r="A3" s="5" t="s">
        <v>565</v>
      </c>
      <c r="B3" s="5"/>
      <c r="C3" s="5"/>
      <c r="D3" s="5"/>
      <c r="E3" s="5"/>
      <c r="F3" s="5"/>
      <c r="G3" s="5"/>
    </row>
    <row r="4" spans="1:7" ht="15" customHeight="1" x14ac:dyDescent="0.35">
      <c r="A4" s="11" t="s">
        <v>566</v>
      </c>
      <c r="B4" s="28">
        <f>'Azure Primary'!F66</f>
        <v>2632285.0164778866</v>
      </c>
      <c r="C4" s="22">
        <f>B4*12</f>
        <v>31587420.197734639</v>
      </c>
      <c r="D4" s="22">
        <f>C4*(1+Assumptions!$B$9)*(1-Assumptions!$B$45*0.7)*(1-Assumptions!$B$46*0.3*0.2)</f>
        <v>32895796.412260965</v>
      </c>
      <c r="E4" s="22">
        <f>D4*(1+Assumptions!$B$9)*(1-Assumptions!$B$45*0.7)*(1-Assumptions!$B$46*0.3*0.2)</f>
        <v>34258366.616293944</v>
      </c>
      <c r="F4" s="22">
        <f>E4*(1+Assumptions!$B$9)*(1-Assumptions!$B$45*0.7)*(1-Assumptions!$B$46*0.3*0.2)</f>
        <v>35677375.568234138</v>
      </c>
      <c r="G4" s="22">
        <f>F4*(1+Assumptions!$B$9)*(1-Assumptions!$B$45*0.7)*(1-Assumptions!$B$46*0.3*0.2)</f>
        <v>37155161.006170854</v>
      </c>
    </row>
    <row r="5" spans="1:7" ht="15" customHeight="1" x14ac:dyDescent="0.35">
      <c r="A5" s="11" t="s">
        <v>567</v>
      </c>
      <c r="B5" s="28">
        <f>'AWS Standby'!F55</f>
        <v>1324994.8504419555</v>
      </c>
      <c r="C5" s="22">
        <f>B5*12</f>
        <v>15899938.205303466</v>
      </c>
      <c r="D5" s="22">
        <f>C5*(1+Assumptions!$B$9)*(1-Assumptions!$B$45*0.7)</f>
        <v>16810686.665703248</v>
      </c>
      <c r="E5" s="22">
        <f>D5*(1+Assumptions!$B$9)*(1-Assumptions!$B$45*0.7)</f>
        <v>17773602.797914732</v>
      </c>
      <c r="F5" s="22">
        <f>E5*(1+Assumptions!$B$9)*(1-Assumptions!$B$45*0.7)</f>
        <v>18791674.76617929</v>
      </c>
      <c r="G5" s="22">
        <f>F5*(1+Assumptions!$B$9)*(1-Assumptions!$B$45*0.7)</f>
        <v>19868061.896786038</v>
      </c>
    </row>
    <row r="6" spans="1:7" ht="15" customHeight="1" x14ac:dyDescent="0.35">
      <c r="A6" s="36" t="s">
        <v>568</v>
      </c>
      <c r="B6" s="23">
        <f t="shared" ref="B6:G6" si="0">SUM(B4:B5)</f>
        <v>3957279.8669198421</v>
      </c>
      <c r="C6" s="23">
        <f t="shared" si="0"/>
        <v>47487358.403038107</v>
      </c>
      <c r="D6" s="23">
        <f t="shared" si="0"/>
        <v>49706483.077964216</v>
      </c>
      <c r="E6" s="23">
        <f t="shared" si="0"/>
        <v>52031969.41420868</v>
      </c>
      <c r="F6" s="23">
        <f t="shared" si="0"/>
        <v>54469050.334413424</v>
      </c>
      <c r="G6" s="23">
        <f t="shared" si="0"/>
        <v>57023222.902956888</v>
      </c>
    </row>
    <row r="7" spans="1:7" ht="15" customHeight="1" x14ac:dyDescent="0.35">
      <c r="A7" s="11" t="s">
        <v>569</v>
      </c>
      <c r="B7" s="22">
        <f>Assumptions!$B$61*Assumptions!$B$4</f>
        <v>6500000</v>
      </c>
      <c r="C7" s="22">
        <f>B7*12</f>
        <v>78000000</v>
      </c>
      <c r="D7" s="22">
        <f>C7*(1+Assumptions!$B$9)</f>
        <v>87360000.000000015</v>
      </c>
      <c r="E7" s="22">
        <f>D7*(1+Assumptions!$B$9)</f>
        <v>97843200.00000003</v>
      </c>
      <c r="F7" s="22">
        <f>E7*(1+Assumptions!$B$9)</f>
        <v>109584384.00000004</v>
      </c>
      <c r="G7" s="22">
        <f>F7*(1+Assumptions!$B$9)</f>
        <v>122734510.08000006</v>
      </c>
    </row>
    <row r="9" spans="1:7" ht="15" customHeight="1" x14ac:dyDescent="0.35">
      <c r="A9" s="5" t="s">
        <v>570</v>
      </c>
      <c r="B9" s="5"/>
      <c r="C9" s="5"/>
      <c r="D9" s="5"/>
      <c r="E9" s="5"/>
      <c r="F9" s="5"/>
      <c r="G9" s="5"/>
    </row>
    <row r="10" spans="1:7" ht="15" customHeight="1" x14ac:dyDescent="0.35">
      <c r="A10" s="11" t="s">
        <v>571</v>
      </c>
      <c r="B10" s="37">
        <f>Assumptions!$B$4</f>
        <v>1000000</v>
      </c>
      <c r="C10" s="21">
        <f>B10*(1+Assumptions!$B$9)</f>
        <v>1120000</v>
      </c>
      <c r="D10" s="21">
        <f>C10*(1+Assumptions!$B$9)</f>
        <v>1254400.0000000002</v>
      </c>
      <c r="E10" s="21">
        <f>D10*(1+Assumptions!$B$9)</f>
        <v>1404928.0000000005</v>
      </c>
      <c r="F10" s="21">
        <f>E10*(1+Assumptions!$B$9)</f>
        <v>1573519.3600000006</v>
      </c>
      <c r="G10" s="21">
        <f>F10*(1+Assumptions!$B$9)</f>
        <v>1762341.6832000008</v>
      </c>
    </row>
    <row r="11" spans="1:7" ht="15" customHeight="1" x14ac:dyDescent="0.35">
      <c r="A11" s="33" t="s">
        <v>572</v>
      </c>
      <c r="B11" s="38"/>
      <c r="C11" s="39">
        <f>C6/C10</f>
        <v>42.399427145569739</v>
      </c>
      <c r="D11" s="39">
        <f>D6/D10</f>
        <v>39.625703984346465</v>
      </c>
      <c r="E11" s="39">
        <f>E6/E10</f>
        <v>37.035328083865267</v>
      </c>
      <c r="F11" s="39">
        <f>F6/F10</f>
        <v>34.616066201062445</v>
      </c>
      <c r="G11" s="39">
        <f>G6/G10</f>
        <v>32.356508074765635</v>
      </c>
    </row>
    <row r="12" spans="1:7" ht="15" customHeight="1" x14ac:dyDescent="0.35">
      <c r="A12" s="11" t="s">
        <v>573</v>
      </c>
      <c r="B12" s="38"/>
      <c r="C12" s="40">
        <f>C11/12</f>
        <v>3.5332855954641449</v>
      </c>
      <c r="D12" s="40">
        <f>D11/12</f>
        <v>3.3021419986955389</v>
      </c>
      <c r="E12" s="40">
        <f>E11/12</f>
        <v>3.0862773403221055</v>
      </c>
      <c r="F12" s="40">
        <f>F11/12</f>
        <v>2.8846721834218703</v>
      </c>
      <c r="G12" s="40">
        <f>G11/12</f>
        <v>2.6963756728971364</v>
      </c>
    </row>
  </sheetData>
  <mergeCells count="3">
    <mergeCell ref="A1:G1"/>
    <mergeCell ref="A3:G3"/>
    <mergeCell ref="A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zoomScaleNormal="100" workbookViewId="0"/>
  </sheetViews>
  <sheetFormatPr defaultColWidth="8.6328125" defaultRowHeight="14.5" x14ac:dyDescent="0.35"/>
  <cols>
    <col min="1" max="1" width="38" customWidth="1"/>
    <col min="2" max="7" width="18" customWidth="1"/>
  </cols>
  <sheetData>
    <row r="1" spans="1:7" ht="21.75" customHeight="1" x14ac:dyDescent="0.35">
      <c r="A1" s="6" t="s">
        <v>574</v>
      </c>
      <c r="B1" s="6"/>
      <c r="C1" s="6"/>
      <c r="D1" s="6"/>
      <c r="E1" s="6"/>
      <c r="F1" s="6"/>
      <c r="G1" s="6"/>
    </row>
    <row r="2" spans="1:7" ht="15" customHeight="1" x14ac:dyDescent="0.35">
      <c r="A2" s="10"/>
      <c r="B2" s="10" t="s">
        <v>575</v>
      </c>
      <c r="C2" s="10" t="s">
        <v>576</v>
      </c>
      <c r="D2" s="10" t="s">
        <v>577</v>
      </c>
      <c r="E2" s="10" t="s">
        <v>578</v>
      </c>
      <c r="F2" s="10" t="s">
        <v>579</v>
      </c>
      <c r="G2" s="10" t="s">
        <v>523</v>
      </c>
    </row>
    <row r="3" spans="1:7" ht="15" customHeight="1" x14ac:dyDescent="0.35">
      <c r="A3" s="11" t="s">
        <v>580</v>
      </c>
      <c r="B3" s="41">
        <f>Assumptions!$B$52</f>
        <v>4.99</v>
      </c>
      <c r="C3" s="42">
        <f>Assumptions!$B$54</f>
        <v>0.2</v>
      </c>
      <c r="D3" s="21">
        <f>Assumptions!$B$4*C3</f>
        <v>200000</v>
      </c>
      <c r="E3" s="22">
        <f t="shared" ref="E3:E8" si="0">B3*D3</f>
        <v>998000</v>
      </c>
      <c r="F3" s="22">
        <f t="shared" ref="F3:F9" si="1">E3*12</f>
        <v>11976000</v>
      </c>
      <c r="G3" s="11"/>
    </row>
    <row r="4" spans="1:7" ht="15" customHeight="1" x14ac:dyDescent="0.35">
      <c r="A4" s="11" t="s">
        <v>581</v>
      </c>
      <c r="B4" s="41">
        <f>Assumptions!$B$48</f>
        <v>7.99</v>
      </c>
      <c r="C4" s="42">
        <f>Assumptions!$B$55</f>
        <v>0.15</v>
      </c>
      <c r="D4" s="21">
        <f>Assumptions!$B$4*C4</f>
        <v>150000</v>
      </c>
      <c r="E4" s="22">
        <f t="shared" si="0"/>
        <v>1198500</v>
      </c>
      <c r="F4" s="22">
        <f t="shared" si="1"/>
        <v>14382000</v>
      </c>
      <c r="G4" s="11"/>
    </row>
    <row r="5" spans="1:7" ht="15" customHeight="1" x14ac:dyDescent="0.35">
      <c r="A5" s="11" t="s">
        <v>582</v>
      </c>
      <c r="B5" s="41">
        <f>Assumptions!$B$49</f>
        <v>13.99</v>
      </c>
      <c r="C5" s="42">
        <f>Assumptions!$B$56</f>
        <v>0.35</v>
      </c>
      <c r="D5" s="21">
        <f>Assumptions!$B$4*C5</f>
        <v>350000</v>
      </c>
      <c r="E5" s="22">
        <f t="shared" si="0"/>
        <v>4896500</v>
      </c>
      <c r="F5" s="22">
        <f t="shared" si="1"/>
        <v>58758000</v>
      </c>
      <c r="G5" s="11"/>
    </row>
    <row r="6" spans="1:7" ht="15" customHeight="1" x14ac:dyDescent="0.35">
      <c r="A6" s="11" t="s">
        <v>583</v>
      </c>
      <c r="B6" s="41">
        <f>Assumptions!$B$50</f>
        <v>19.989999999999998</v>
      </c>
      <c r="C6" s="42">
        <f>Assumptions!$B$57</f>
        <v>0.22</v>
      </c>
      <c r="D6" s="21">
        <f>Assumptions!$B$4*C6</f>
        <v>220000</v>
      </c>
      <c r="E6" s="22">
        <f t="shared" si="0"/>
        <v>4397800</v>
      </c>
      <c r="F6" s="22">
        <f t="shared" si="1"/>
        <v>52773600</v>
      </c>
      <c r="G6" s="11"/>
    </row>
    <row r="7" spans="1:7" ht="15" customHeight="1" x14ac:dyDescent="0.35">
      <c r="A7" s="11" t="s">
        <v>584</v>
      </c>
      <c r="B7" s="41">
        <f>Assumptions!$B$51</f>
        <v>24.99</v>
      </c>
      <c r="C7" s="42">
        <f>Assumptions!$B$58</f>
        <v>0.08</v>
      </c>
      <c r="D7" s="21">
        <f>Assumptions!$B$4*C7</f>
        <v>80000</v>
      </c>
      <c r="E7" s="22">
        <f t="shared" si="0"/>
        <v>1999199.9999999998</v>
      </c>
      <c r="F7" s="22">
        <f t="shared" si="1"/>
        <v>23990399.999999996</v>
      </c>
      <c r="G7" s="11"/>
    </row>
    <row r="8" spans="1:7" ht="15" customHeight="1" x14ac:dyDescent="0.35">
      <c r="A8" s="11" t="s">
        <v>585</v>
      </c>
      <c r="B8" s="41">
        <f>Assumptions!$B$53</f>
        <v>6</v>
      </c>
      <c r="C8" s="25"/>
      <c r="D8" s="21">
        <f>D3</f>
        <v>200000</v>
      </c>
      <c r="E8" s="22">
        <f t="shared" si="0"/>
        <v>1200000</v>
      </c>
      <c r="F8" s="22">
        <f t="shared" si="1"/>
        <v>14400000</v>
      </c>
      <c r="G8" s="25"/>
    </row>
    <row r="9" spans="1:7" ht="15" customHeight="1" x14ac:dyDescent="0.35">
      <c r="A9" s="36" t="s">
        <v>586</v>
      </c>
      <c r="B9" s="38"/>
      <c r="C9" s="43">
        <f>SUM(C3:C7)</f>
        <v>0.99999999999999989</v>
      </c>
      <c r="D9" s="44">
        <f>SUM(D3:D7)</f>
        <v>1000000</v>
      </c>
      <c r="E9" s="23">
        <f>SUM(E3:E8)</f>
        <v>14690000</v>
      </c>
      <c r="F9" s="23">
        <f t="shared" si="1"/>
        <v>176280000</v>
      </c>
      <c r="G9" s="45"/>
    </row>
    <row r="10" spans="1:7" ht="15" customHeight="1" x14ac:dyDescent="0.35">
      <c r="A10" s="33" t="s">
        <v>587</v>
      </c>
      <c r="B10" s="25"/>
      <c r="C10" s="25"/>
      <c r="D10" s="25"/>
      <c r="E10" s="39">
        <f>(E9-E8)/D9</f>
        <v>13.49</v>
      </c>
      <c r="F10" s="25"/>
      <c r="G10" s="25"/>
    </row>
    <row r="11" spans="1:7" ht="15" customHeight="1" x14ac:dyDescent="0.35">
      <c r="A11" s="33" t="s">
        <v>588</v>
      </c>
      <c r="B11" s="25"/>
      <c r="C11" s="25"/>
      <c r="D11" s="25"/>
      <c r="E11" s="39">
        <f>E9/D9</f>
        <v>14.69</v>
      </c>
      <c r="F11" s="25"/>
      <c r="G11" s="25"/>
    </row>
    <row r="13" spans="1:7" ht="15" customHeight="1" x14ac:dyDescent="0.35">
      <c r="A13" s="5" t="s">
        <v>589</v>
      </c>
      <c r="B13" s="5"/>
      <c r="C13" s="5"/>
      <c r="D13" s="5"/>
      <c r="E13" s="5"/>
      <c r="F13" s="5"/>
      <c r="G13" s="5"/>
    </row>
    <row r="14" spans="1:7" ht="15" customHeight="1" x14ac:dyDescent="0.35">
      <c r="A14" s="10"/>
      <c r="B14" s="10" t="s">
        <v>560</v>
      </c>
      <c r="C14" s="10" t="s">
        <v>561</v>
      </c>
      <c r="D14" s="10" t="s">
        <v>562</v>
      </c>
      <c r="E14" s="10" t="s">
        <v>563</v>
      </c>
      <c r="F14" s="10" t="s">
        <v>564</v>
      </c>
    </row>
    <row r="15" spans="1:7" ht="15" customHeight="1" x14ac:dyDescent="0.35">
      <c r="A15" s="11" t="s">
        <v>590</v>
      </c>
      <c r="B15" s="21">
        <f>Assumptions!$B$4</f>
        <v>1000000</v>
      </c>
      <c r="C15" s="21">
        <f>B15*(1+Assumptions!$B$9)</f>
        <v>1120000</v>
      </c>
      <c r="D15" s="21">
        <f>C15*(1+Assumptions!$B$9)</f>
        <v>1254400.0000000002</v>
      </c>
      <c r="E15" s="21">
        <f>D15*(1+Assumptions!$B$9)</f>
        <v>1404928.0000000005</v>
      </c>
      <c r="F15" s="21">
        <f>E15*(1+Assumptions!$B$9)</f>
        <v>1573519.3600000006</v>
      </c>
      <c r="G15" s="25"/>
    </row>
    <row r="16" spans="1:7" ht="15" customHeight="1" x14ac:dyDescent="0.35">
      <c r="A16" s="11" t="s">
        <v>591</v>
      </c>
      <c r="B16" s="22">
        <f>B15/Assumptions!$B$4*F9</f>
        <v>176280000</v>
      </c>
      <c r="C16" s="22">
        <f>C15/Assumptions!$B$4*F9</f>
        <v>197433600.00000003</v>
      </c>
      <c r="D16" s="22">
        <f>D15/Assumptions!$B$4*F9</f>
        <v>221125632.00000003</v>
      </c>
      <c r="E16" s="22">
        <f>E15/Assumptions!$B$4*F9</f>
        <v>247660707.84000006</v>
      </c>
      <c r="F16" s="22">
        <f>F15/Assumptions!$B$4*F9</f>
        <v>277379992.7808001</v>
      </c>
      <c r="G16" s="25"/>
    </row>
    <row r="17" spans="1:7" ht="15" customHeight="1" x14ac:dyDescent="0.35">
      <c r="A17" s="11" t="s">
        <v>592</v>
      </c>
      <c r="B17" s="22">
        <f>B16*(1.03)^0</f>
        <v>176280000</v>
      </c>
      <c r="C17" s="22">
        <f>C16*(1.03)^1</f>
        <v>203356608.00000003</v>
      </c>
      <c r="D17" s="22">
        <f>D16*(1.03)^2</f>
        <v>234592182.98880002</v>
      </c>
      <c r="E17" s="22">
        <f>E16*(1.03)^3</f>
        <v>270625542.29587972</v>
      </c>
      <c r="F17" s="22">
        <f>F16*(1.03)^4</f>
        <v>312193625.59252691</v>
      </c>
      <c r="G17" s="25"/>
    </row>
    <row r="18" spans="1:7" ht="15" customHeight="1" x14ac:dyDescent="0.35">
      <c r="A18" s="11" t="s">
        <v>593</v>
      </c>
      <c r="B18" s="22">
        <f>-B17*Assumptions!$B$59</f>
        <v>-4935840</v>
      </c>
      <c r="C18" s="22">
        <f>-C17*Assumptions!$B$59</f>
        <v>-5693985.0240000011</v>
      </c>
      <c r="D18" s="22">
        <f>-D17*Assumptions!$B$59</f>
        <v>-6568581.1236864002</v>
      </c>
      <c r="E18" s="22">
        <f>-E17*Assumptions!$B$59</f>
        <v>-7577515.1842846321</v>
      </c>
      <c r="F18" s="22">
        <f>-F17*Assumptions!$B$59</f>
        <v>-8741421.5165907536</v>
      </c>
      <c r="G18" s="25"/>
    </row>
    <row r="19" spans="1:7" ht="15" customHeight="1" x14ac:dyDescent="0.35">
      <c r="A19" s="36" t="s">
        <v>594</v>
      </c>
      <c r="B19" s="23">
        <f>B17+B18</f>
        <v>171344160</v>
      </c>
      <c r="C19" s="23">
        <f>C17+C18</f>
        <v>197662622.97600004</v>
      </c>
      <c r="D19" s="23">
        <f>D17+D18</f>
        <v>228023601.86511362</v>
      </c>
      <c r="E19" s="23">
        <f>E17+E18</f>
        <v>263048027.11159509</v>
      </c>
      <c r="F19" s="23">
        <f>F17+F18</f>
        <v>303452204.07593614</v>
      </c>
    </row>
  </sheetData>
  <mergeCells count="2">
    <mergeCell ref="A1:G1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zoomScaleNormal="100" workbookViewId="0"/>
  </sheetViews>
  <sheetFormatPr defaultColWidth="8.6328125" defaultRowHeight="14.5" x14ac:dyDescent="0.35"/>
  <cols>
    <col min="1" max="1" width="42" customWidth="1"/>
    <col min="2" max="6" width="18" customWidth="1"/>
  </cols>
  <sheetData>
    <row r="1" spans="1:6" ht="21.75" customHeight="1" x14ac:dyDescent="0.35">
      <c r="A1" s="6" t="s">
        <v>595</v>
      </c>
      <c r="B1" s="6"/>
      <c r="C1" s="6"/>
      <c r="D1" s="6"/>
      <c r="E1" s="6"/>
      <c r="F1" s="6"/>
    </row>
    <row r="2" spans="1:6" ht="15" customHeight="1" x14ac:dyDescent="0.35">
      <c r="A2" s="10" t="s">
        <v>596</v>
      </c>
      <c r="B2" s="10" t="s">
        <v>560</v>
      </c>
      <c r="C2" s="10" t="s">
        <v>561</v>
      </c>
      <c r="D2" s="10" t="s">
        <v>562</v>
      </c>
      <c r="E2" s="10" t="s">
        <v>563</v>
      </c>
      <c r="F2" s="10" t="s">
        <v>564</v>
      </c>
    </row>
    <row r="3" spans="1:6" ht="15" customHeight="1" x14ac:dyDescent="0.35">
      <c r="A3" s="33" t="s">
        <v>597</v>
      </c>
      <c r="B3" s="28">
        <f>'Revenue Model'!B19/1000</f>
        <v>171344.16</v>
      </c>
      <c r="C3" s="28">
        <f>'Revenue Model'!C19/1000</f>
        <v>197662.62297600004</v>
      </c>
      <c r="D3" s="28">
        <f>'Revenue Model'!D19/1000</f>
        <v>228023.60186511363</v>
      </c>
      <c r="E3" s="28">
        <f>'Revenue Model'!E19/1000</f>
        <v>263048.02711159509</v>
      </c>
      <c r="F3" s="28">
        <f>'Revenue Model'!F19/1000</f>
        <v>303452.20407593611</v>
      </c>
    </row>
    <row r="4" spans="1:6" ht="15" customHeight="1" x14ac:dyDescent="0.35">
      <c r="A4" s="5" t="s">
        <v>598</v>
      </c>
      <c r="B4" s="5"/>
      <c r="C4" s="5"/>
      <c r="D4" s="5"/>
      <c r="E4" s="5"/>
      <c r="F4" s="5"/>
    </row>
    <row r="5" spans="1:6" ht="15" customHeight="1" x14ac:dyDescent="0.35">
      <c r="A5" s="11" t="s">
        <v>599</v>
      </c>
      <c r="B5" s="28">
        <f>'Consolidated OpEx'!C6/1000</f>
        <v>47487.35840303811</v>
      </c>
      <c r="C5" s="28">
        <f>'Consolidated OpEx'!D6/1000</f>
        <v>49706.483077964214</v>
      </c>
      <c r="D5" s="28">
        <f>'Consolidated OpEx'!E6/1000</f>
        <v>52031.969414208681</v>
      </c>
      <c r="E5" s="28">
        <f>'Consolidated OpEx'!F6/1000</f>
        <v>54469.050334413427</v>
      </c>
      <c r="F5" s="28">
        <f>'Consolidated OpEx'!G6/1000</f>
        <v>57023.222902956892</v>
      </c>
    </row>
    <row r="6" spans="1:6" ht="23.25" customHeight="1" x14ac:dyDescent="0.35">
      <c r="A6" s="11" t="s">
        <v>600</v>
      </c>
      <c r="B6" s="28">
        <f>'Consolidated OpEx'!C7/1000</f>
        <v>78000</v>
      </c>
      <c r="C6" s="28">
        <f>'Consolidated OpEx'!D7/1000</f>
        <v>87360.000000000015</v>
      </c>
      <c r="D6" s="28">
        <f>'Consolidated OpEx'!E7/1000</f>
        <v>97843.200000000026</v>
      </c>
      <c r="E6" s="28">
        <f>'Consolidated OpEx'!F7/1000</f>
        <v>109584.38400000005</v>
      </c>
      <c r="F6" s="28">
        <f>'Consolidated OpEx'!G7/1000</f>
        <v>122734.51008000005</v>
      </c>
    </row>
    <row r="7" spans="1:6" ht="15" customHeight="1" x14ac:dyDescent="0.35">
      <c r="A7" s="33" t="s">
        <v>601</v>
      </c>
      <c r="B7" s="46">
        <f>B3-B5</f>
        <v>123856.80159696189</v>
      </c>
      <c r="C7" s="46">
        <f>C3-C5</f>
        <v>147956.13989803582</v>
      </c>
      <c r="D7" s="46">
        <f>D3-D5</f>
        <v>175991.63245090493</v>
      </c>
      <c r="E7" s="46">
        <f>E3-E5</f>
        <v>208578.97677718167</v>
      </c>
      <c r="F7" s="46">
        <f>F3-F5</f>
        <v>246428.98117297923</v>
      </c>
    </row>
    <row r="8" spans="1:6" ht="15" customHeight="1" x14ac:dyDescent="0.35">
      <c r="A8" s="11" t="s">
        <v>602</v>
      </c>
      <c r="B8" s="29">
        <f>B7/B3</f>
        <v>0.72285394259694569</v>
      </c>
      <c r="C8" s="29">
        <f>C7/C3</f>
        <v>0.74852866804261964</v>
      </c>
      <c r="D8" s="29">
        <f>D7/D3</f>
        <v>0.77181322903149308</v>
      </c>
      <c r="E8" s="29">
        <f>E7/E3</f>
        <v>0.79293115811393045</v>
      </c>
      <c r="F8" s="29">
        <f>F7/F3</f>
        <v>0.81208499349476682</v>
      </c>
    </row>
    <row r="9" spans="1:6" ht="15" customHeight="1" x14ac:dyDescent="0.35">
      <c r="A9" s="33" t="s">
        <v>603</v>
      </c>
      <c r="B9" s="47">
        <f>B3-B5-B6</f>
        <v>45856.801596961886</v>
      </c>
      <c r="C9" s="47">
        <f>C3-C5-C6</f>
        <v>60596.139898035806</v>
      </c>
      <c r="D9" s="47">
        <f>D3-D5-D6</f>
        <v>78148.432450904904</v>
      </c>
      <c r="E9" s="47">
        <f>E3-E5-E6</f>
        <v>98994.59277718162</v>
      </c>
      <c r="F9" s="47">
        <f>F3-F5-F6</f>
        <v>123694.47109297918</v>
      </c>
    </row>
    <row r="10" spans="1:6" ht="15" customHeight="1" x14ac:dyDescent="0.35">
      <c r="A10" s="11" t="s">
        <v>604</v>
      </c>
      <c r="B10" s="29">
        <f>B9/B3</f>
        <v>0.26762979022431743</v>
      </c>
      <c r="C10" s="29">
        <f>C9/C3</f>
        <v>0.30656347156433977</v>
      </c>
      <c r="D10" s="29">
        <f>D9/D3</f>
        <v>0.34272080526617271</v>
      </c>
      <c r="E10" s="29">
        <f>E9/E3</f>
        <v>0.37633657193400771</v>
      </c>
      <c r="F10" s="29">
        <f>F9/F3</f>
        <v>0.40762423021328847</v>
      </c>
    </row>
    <row r="12" spans="1:6" ht="15" customHeight="1" x14ac:dyDescent="0.35">
      <c r="A12" s="5" t="s">
        <v>605</v>
      </c>
      <c r="B12" s="5"/>
      <c r="C12" s="5"/>
      <c r="D12" s="5"/>
      <c r="E12" s="5"/>
      <c r="F12" s="5"/>
    </row>
    <row r="13" spans="1:6" ht="15" customHeight="1" x14ac:dyDescent="0.35">
      <c r="A13" s="33" t="s">
        <v>606</v>
      </c>
      <c r="B13" s="46">
        <f>B3</f>
        <v>171344.16</v>
      </c>
      <c r="C13" s="48"/>
      <c r="D13" s="46">
        <f>SUM(B3:D3)</f>
        <v>597030.3848411137</v>
      </c>
      <c r="E13" s="48"/>
      <c r="F13" s="46">
        <f>SUM(B3:F3)</f>
        <v>1163530.6160286451</v>
      </c>
    </row>
    <row r="14" spans="1:6" ht="15" customHeight="1" x14ac:dyDescent="0.35">
      <c r="A14" s="33" t="s">
        <v>607</v>
      </c>
      <c r="B14" s="49">
        <f>B5</f>
        <v>47487.35840303811</v>
      </c>
      <c r="C14" s="25"/>
      <c r="D14" s="49">
        <f>SUM(B5:D5)</f>
        <v>149225.81089521101</v>
      </c>
      <c r="E14" s="25"/>
      <c r="F14" s="49">
        <f>SUM(B5:F5)</f>
        <v>260718.08413258131</v>
      </c>
    </row>
    <row r="15" spans="1:6" ht="15" customHeight="1" x14ac:dyDescent="0.35">
      <c r="A15" s="11" t="s">
        <v>608</v>
      </c>
      <c r="B15" s="50">
        <f>B6</f>
        <v>78000</v>
      </c>
      <c r="C15" s="25"/>
      <c r="D15" s="50">
        <f>SUM(B6:D6)</f>
        <v>263203.20000000001</v>
      </c>
      <c r="E15" s="25"/>
      <c r="F15" s="50">
        <f>SUM(B6:F6)</f>
        <v>495522.09408000007</v>
      </c>
    </row>
  </sheetData>
  <mergeCells count="3">
    <mergeCell ref="A1:F1"/>
    <mergeCell ref="A4:F4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zoomScaleNormal="100" workbookViewId="0"/>
  </sheetViews>
  <sheetFormatPr defaultColWidth="8.6328125" defaultRowHeight="14.5" x14ac:dyDescent="0.35"/>
  <cols>
    <col min="1" max="1" width="42" customWidth="1"/>
    <col min="2" max="5" width="16" customWidth="1"/>
  </cols>
  <sheetData>
    <row r="1" spans="1:5" ht="21.75" customHeight="1" x14ac:dyDescent="0.35">
      <c r="A1" s="6" t="s">
        <v>609</v>
      </c>
      <c r="B1" s="6"/>
      <c r="C1" s="6"/>
      <c r="D1" s="6"/>
      <c r="E1" s="6"/>
    </row>
    <row r="2" spans="1:5" ht="26.25" customHeight="1" x14ac:dyDescent="0.35">
      <c r="A2" s="10" t="s">
        <v>610</v>
      </c>
      <c r="B2" s="10" t="s">
        <v>565</v>
      </c>
      <c r="C2" s="10" t="s">
        <v>611</v>
      </c>
      <c r="D2" s="10" t="s">
        <v>612</v>
      </c>
      <c r="E2" s="10" t="s">
        <v>613</v>
      </c>
    </row>
    <row r="3" spans="1:5" ht="23.25" customHeight="1" x14ac:dyDescent="0.35">
      <c r="A3" s="33" t="s">
        <v>614</v>
      </c>
      <c r="B3" s="28">
        <f>'Azure Primary'!F63*12</f>
        <v>45778869.851789325</v>
      </c>
      <c r="C3" s="28">
        <f>'AWS Standby'!F52*12</f>
        <v>23555464.007856987</v>
      </c>
      <c r="D3" s="47">
        <f>B3+C3</f>
        <v>69334333.85964632</v>
      </c>
      <c r="E3" s="51">
        <f>D3/Assumptions!$B$4</f>
        <v>69.334333859646321</v>
      </c>
    </row>
    <row r="4" spans="1:5" ht="15" customHeight="1" x14ac:dyDescent="0.35">
      <c r="A4" s="52" t="s">
        <v>615</v>
      </c>
      <c r="B4" s="53">
        <f>'Azure Primary'!F66*12</f>
        <v>31587420.197734639</v>
      </c>
      <c r="C4" s="53">
        <f>'AWS Standby'!F55*12</f>
        <v>15899938.205303466</v>
      </c>
      <c r="D4" s="46">
        <f>B4+C4</f>
        <v>47487358.403038107</v>
      </c>
      <c r="E4" s="39">
        <f>D4/Assumptions!$B$4</f>
        <v>47.487358403038108</v>
      </c>
    </row>
    <row r="5" spans="1:5" ht="23.25" customHeight="1" x14ac:dyDescent="0.35">
      <c r="A5" s="33" t="s">
        <v>616</v>
      </c>
      <c r="B5" s="28">
        <f>'Consolidated OpEx'!E4</f>
        <v>34258366.616293944</v>
      </c>
      <c r="C5" s="28">
        <f>'Consolidated OpEx'!E5</f>
        <v>17773602.797914732</v>
      </c>
      <c r="D5" s="47">
        <f>B5+C5</f>
        <v>52031969.41420868</v>
      </c>
      <c r="E5" s="51">
        <f>D5/( 'Consolidated OpEx'!E10 )</f>
        <v>37.035328083865267</v>
      </c>
    </row>
    <row r="6" spans="1:5" ht="23.25" customHeight="1" x14ac:dyDescent="0.35">
      <c r="A6" s="33" t="s">
        <v>617</v>
      </c>
      <c r="B6" s="28">
        <f>'Consolidated OpEx'!G4</f>
        <v>37155161.006170854</v>
      </c>
      <c r="C6" s="28">
        <f>'Consolidated OpEx'!G5</f>
        <v>19868061.896786038</v>
      </c>
      <c r="D6" s="47">
        <f>B6+C6</f>
        <v>57023222.902956888</v>
      </c>
      <c r="E6" s="51">
        <f>D6/( 'Consolidated OpEx'!G10 )</f>
        <v>32.356508074765635</v>
      </c>
    </row>
    <row r="8" spans="1:5" ht="15" customHeight="1" x14ac:dyDescent="0.35">
      <c r="A8" s="5" t="s">
        <v>618</v>
      </c>
      <c r="B8" s="5"/>
      <c r="C8" s="5"/>
      <c r="D8" s="5"/>
      <c r="E8" s="5"/>
    </row>
    <row r="9" spans="1:5" ht="15" customHeight="1" x14ac:dyDescent="0.35">
      <c r="A9" s="11" t="s">
        <v>619</v>
      </c>
      <c r="B9" s="38"/>
      <c r="C9" s="38"/>
      <c r="D9" s="22">
        <f>D3-D4</f>
        <v>21846975.456608213</v>
      </c>
      <c r="E9" s="29">
        <f>D9/D3</f>
        <v>0.31509606050060429</v>
      </c>
    </row>
  </sheetData>
  <mergeCells count="2">
    <mergeCell ref="A1:E1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"/>
  <sheetViews>
    <sheetView zoomScaleNormal="100" workbookViewId="0"/>
  </sheetViews>
  <sheetFormatPr defaultColWidth="8.6328125" defaultRowHeight="14.5" x14ac:dyDescent="0.35"/>
  <cols>
    <col min="1" max="1" width="24" customWidth="1"/>
    <col min="2" max="7" width="14" customWidth="1"/>
    <col min="8" max="8" width="40" customWidth="1"/>
  </cols>
  <sheetData>
    <row r="1" spans="1:8" ht="21.75" customHeight="1" x14ac:dyDescent="0.35">
      <c r="A1" s="6" t="s">
        <v>620</v>
      </c>
      <c r="B1" s="6"/>
      <c r="C1" s="6"/>
      <c r="D1" s="6"/>
      <c r="E1" s="6"/>
      <c r="F1" s="6"/>
      <c r="G1" s="6"/>
      <c r="H1" s="6"/>
    </row>
    <row r="2" spans="1:8" ht="15" customHeight="1" x14ac:dyDescent="0.35">
      <c r="A2" s="10" t="s">
        <v>621</v>
      </c>
      <c r="B2" s="10" t="s">
        <v>622</v>
      </c>
      <c r="C2" s="10" t="s">
        <v>623</v>
      </c>
      <c r="D2" s="10" t="s">
        <v>624</v>
      </c>
      <c r="E2" s="10" t="s">
        <v>625</v>
      </c>
      <c r="F2" s="10" t="s">
        <v>626</v>
      </c>
      <c r="G2" s="10" t="s">
        <v>627</v>
      </c>
      <c r="H2" s="10" t="s">
        <v>628</v>
      </c>
    </row>
    <row r="3" spans="1:8" ht="23.25" customHeight="1" x14ac:dyDescent="0.35">
      <c r="A3" s="11" t="s">
        <v>629</v>
      </c>
      <c r="B3" s="54">
        <v>294</v>
      </c>
      <c r="C3" s="40">
        <v>17.3</v>
      </c>
      <c r="D3" s="40">
        <v>7.99</v>
      </c>
      <c r="E3" s="40">
        <v>17.989999999999998</v>
      </c>
      <c r="F3" s="40">
        <v>24.99</v>
      </c>
      <c r="G3" s="29">
        <v>0.45</v>
      </c>
      <c r="H3" s="11" t="s">
        <v>630</v>
      </c>
    </row>
    <row r="4" spans="1:8" ht="23.25" customHeight="1" x14ac:dyDescent="0.35">
      <c r="A4" s="11" t="s">
        <v>631</v>
      </c>
      <c r="B4" s="54">
        <v>155</v>
      </c>
      <c r="C4" s="40">
        <v>8.1999999999999993</v>
      </c>
      <c r="D4" s="40">
        <v>9.99</v>
      </c>
      <c r="E4" s="40">
        <v>13.99</v>
      </c>
      <c r="F4" s="40">
        <v>19.989999999999998</v>
      </c>
      <c r="G4" s="29">
        <v>0.22</v>
      </c>
      <c r="H4" s="11" t="s">
        <v>632</v>
      </c>
    </row>
    <row r="5" spans="1:8" ht="23.25" customHeight="1" x14ac:dyDescent="0.35">
      <c r="A5" s="11" t="s">
        <v>633</v>
      </c>
      <c r="B5" s="54">
        <v>95</v>
      </c>
      <c r="C5" s="40">
        <v>11.9</v>
      </c>
      <c r="D5" s="40">
        <v>9.99</v>
      </c>
      <c r="E5" s="40">
        <v>16.989999999999998</v>
      </c>
      <c r="F5" s="40">
        <v>20.99</v>
      </c>
      <c r="G5" s="29">
        <v>0.28000000000000003</v>
      </c>
      <c r="H5" s="11" t="s">
        <v>634</v>
      </c>
    </row>
    <row r="6" spans="1:8" ht="23.25" customHeight="1" x14ac:dyDescent="0.35">
      <c r="A6" s="11" t="s">
        <v>635</v>
      </c>
      <c r="B6" s="54">
        <v>77</v>
      </c>
      <c r="C6" s="40">
        <v>7.5</v>
      </c>
      <c r="D6" s="40">
        <v>7.99</v>
      </c>
      <c r="E6" s="40">
        <v>12.99</v>
      </c>
      <c r="F6" s="40">
        <v>14.99</v>
      </c>
      <c r="G6" s="29">
        <v>0.12</v>
      </c>
      <c r="H6" s="11" t="s">
        <v>636</v>
      </c>
    </row>
    <row r="7" spans="1:8" ht="15" customHeight="1" x14ac:dyDescent="0.35">
      <c r="A7" s="11" t="s">
        <v>637</v>
      </c>
      <c r="B7" s="54">
        <v>50</v>
      </c>
      <c r="C7" s="40">
        <v>9.99</v>
      </c>
      <c r="D7" s="40">
        <v>9.99</v>
      </c>
      <c r="E7" s="40">
        <v>9.99</v>
      </c>
      <c r="F7" s="40">
        <v>9.99</v>
      </c>
      <c r="G7" s="29" t="s">
        <v>638</v>
      </c>
      <c r="H7" s="11" t="s">
        <v>639</v>
      </c>
    </row>
    <row r="8" spans="1:8" ht="23.25" customHeight="1" x14ac:dyDescent="0.35">
      <c r="A8" s="11" t="s">
        <v>640</v>
      </c>
      <c r="B8" s="54">
        <v>200</v>
      </c>
      <c r="C8" s="40">
        <v>10</v>
      </c>
      <c r="D8" s="40">
        <v>8.99</v>
      </c>
      <c r="E8" s="40">
        <v>8.99</v>
      </c>
      <c r="F8" s="40">
        <v>14.99</v>
      </c>
      <c r="G8" s="29" t="s">
        <v>638</v>
      </c>
      <c r="H8" s="11" t="s">
        <v>641</v>
      </c>
    </row>
    <row r="9" spans="1:8" ht="23.25" customHeight="1" x14ac:dyDescent="0.35">
      <c r="A9" s="11" t="s">
        <v>642</v>
      </c>
      <c r="B9" s="54">
        <v>50</v>
      </c>
      <c r="C9" s="40">
        <v>9.8000000000000007</v>
      </c>
      <c r="D9" s="40">
        <v>9.99</v>
      </c>
      <c r="E9" s="40">
        <v>18.989999999999998</v>
      </c>
      <c r="F9" s="40">
        <v>82.99</v>
      </c>
      <c r="G9" s="29">
        <v>0.15</v>
      </c>
      <c r="H9" s="11" t="s">
        <v>643</v>
      </c>
    </row>
    <row r="10" spans="1:8" ht="15" customHeight="1" x14ac:dyDescent="0.35">
      <c r="A10" s="11" t="s">
        <v>644</v>
      </c>
      <c r="B10" s="54">
        <v>1</v>
      </c>
      <c r="C10" s="40">
        <v>14.5</v>
      </c>
      <c r="D10" s="40">
        <v>12.99</v>
      </c>
      <c r="E10" s="40">
        <v>12.99</v>
      </c>
      <c r="F10" s="40">
        <v>19.989999999999998</v>
      </c>
      <c r="G10" s="29">
        <v>0.3</v>
      </c>
      <c r="H10" s="11" t="s">
        <v>645</v>
      </c>
    </row>
    <row r="11" spans="1:8" ht="23.25" customHeight="1" x14ac:dyDescent="0.35">
      <c r="A11" s="52" t="s">
        <v>646</v>
      </c>
      <c r="B11" s="55">
        <v>1</v>
      </c>
      <c r="C11" s="56">
        <f>('Revenue Model'!E9-'Revenue Model'!E8)/'Revenue Model'!D9</f>
        <v>13.49</v>
      </c>
      <c r="D11" s="57">
        <v>4.99</v>
      </c>
      <c r="E11" s="57">
        <v>13.99</v>
      </c>
      <c r="F11" s="57">
        <v>24.99</v>
      </c>
      <c r="G11" s="58">
        <f>('5-Year P&amp;L'!B7)/('5-Year P&amp;L'!B3)</f>
        <v>0.72285394259694569</v>
      </c>
      <c r="H11" s="59" t="s">
        <v>647</v>
      </c>
    </row>
    <row r="13" spans="1:8" ht="15" customHeight="1" x14ac:dyDescent="0.35">
      <c r="A13" s="5" t="s">
        <v>648</v>
      </c>
      <c r="B13" s="5"/>
      <c r="C13" s="5"/>
      <c r="D13" s="5"/>
      <c r="E13" s="5"/>
      <c r="F13" s="5"/>
      <c r="G13" s="5"/>
      <c r="H13" s="5"/>
    </row>
    <row r="14" spans="1:8" ht="31.5" customHeight="1" x14ac:dyDescent="0.35">
      <c r="A14" s="1" t="s">
        <v>649</v>
      </c>
      <c r="B14" s="1"/>
      <c r="C14" s="1"/>
      <c r="D14" s="1"/>
      <c r="E14" s="1"/>
      <c r="F14" s="1"/>
      <c r="G14" s="1"/>
      <c r="H14" s="1"/>
    </row>
    <row r="15" spans="1:8" ht="31.5" customHeight="1" x14ac:dyDescent="0.35">
      <c r="A15" s="1" t="s">
        <v>650</v>
      </c>
      <c r="B15" s="1"/>
      <c r="C15" s="1"/>
      <c r="D15" s="1"/>
      <c r="E15" s="1"/>
      <c r="F15" s="1"/>
      <c r="G15" s="1"/>
      <c r="H15" s="1"/>
    </row>
    <row r="16" spans="1:8" ht="31.5" customHeight="1" x14ac:dyDescent="0.35">
      <c r="A16" s="1" t="s">
        <v>651</v>
      </c>
      <c r="B16" s="1"/>
      <c r="C16" s="1"/>
      <c r="D16" s="1"/>
      <c r="E16" s="1"/>
      <c r="F16" s="1"/>
      <c r="G16" s="1"/>
      <c r="H16" s="1"/>
    </row>
    <row r="17" spans="1:8" ht="31.5" customHeight="1" x14ac:dyDescent="0.35">
      <c r="A17" s="1" t="s">
        <v>652</v>
      </c>
      <c r="B17" s="1"/>
      <c r="C17" s="1"/>
      <c r="D17" s="1"/>
      <c r="E17" s="1"/>
      <c r="F17" s="1"/>
      <c r="G17" s="1"/>
      <c r="H17" s="1"/>
    </row>
    <row r="18" spans="1:8" ht="31.5" customHeight="1" x14ac:dyDescent="0.35">
      <c r="A18" s="1" t="s">
        <v>653</v>
      </c>
      <c r="B18" s="1"/>
      <c r="C18" s="1"/>
      <c r="D18" s="1"/>
      <c r="E18" s="1"/>
      <c r="F18" s="1"/>
      <c r="G18" s="1"/>
      <c r="H18" s="1"/>
    </row>
    <row r="19" spans="1:8" ht="31.5" customHeight="1" x14ac:dyDescent="0.35">
      <c r="A19" s="1" t="s">
        <v>654</v>
      </c>
      <c r="B19" s="1"/>
      <c r="C19" s="1"/>
      <c r="D19" s="1"/>
      <c r="E19" s="1"/>
      <c r="F19" s="1"/>
      <c r="G19" s="1"/>
      <c r="H19" s="1"/>
    </row>
  </sheetData>
  <mergeCells count="8">
    <mergeCell ref="A17:H17"/>
    <mergeCell ref="A18:H18"/>
    <mergeCell ref="A19:H19"/>
    <mergeCell ref="A1:H1"/>
    <mergeCell ref="A13:H13"/>
    <mergeCell ref="A14:H14"/>
    <mergeCell ref="A15:H15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"/>
  <sheetViews>
    <sheetView zoomScaleNormal="100" workbookViewId="0"/>
  </sheetViews>
  <sheetFormatPr defaultColWidth="8.6328125" defaultRowHeight="14.5" x14ac:dyDescent="0.35"/>
  <cols>
    <col min="1" max="1" width="44" customWidth="1"/>
    <col min="2" max="4" width="20" customWidth="1"/>
    <col min="5" max="5" width="60" customWidth="1"/>
  </cols>
  <sheetData>
    <row r="1" spans="1:5" ht="21.75" customHeight="1" x14ac:dyDescent="0.35">
      <c r="A1" s="6" t="s">
        <v>655</v>
      </c>
      <c r="B1" s="6"/>
      <c r="C1" s="6"/>
      <c r="D1" s="6"/>
      <c r="E1" s="6"/>
    </row>
    <row r="2" spans="1:5" ht="15" customHeight="1" x14ac:dyDescent="0.35">
      <c r="A2" s="10" t="s">
        <v>656</v>
      </c>
      <c r="B2" s="10" t="s">
        <v>657</v>
      </c>
      <c r="C2" s="10" t="s">
        <v>658</v>
      </c>
      <c r="D2" s="10" t="s">
        <v>659</v>
      </c>
      <c r="E2" s="10" t="s">
        <v>660</v>
      </c>
    </row>
    <row r="3" spans="1:5" ht="27.75" customHeight="1" x14ac:dyDescent="0.35">
      <c r="A3" s="33" t="s">
        <v>661</v>
      </c>
      <c r="B3" s="15">
        <f>4.99</f>
        <v>4.99</v>
      </c>
      <c r="C3" s="14">
        <f>20%</f>
        <v>0.2</v>
      </c>
      <c r="D3" s="40">
        <f>B3*C3</f>
        <v>0.99800000000000011</v>
      </c>
      <c r="E3" s="11" t="s">
        <v>662</v>
      </c>
    </row>
    <row r="4" spans="1:5" ht="27.75" customHeight="1" x14ac:dyDescent="0.35">
      <c r="A4" s="33" t="s">
        <v>663</v>
      </c>
      <c r="B4" s="15">
        <f>8.99</f>
        <v>8.99</v>
      </c>
      <c r="C4" s="14">
        <f>15%</f>
        <v>0.15</v>
      </c>
      <c r="D4" s="40">
        <f>B4*C4</f>
        <v>1.3485</v>
      </c>
      <c r="E4" s="11" t="s">
        <v>664</v>
      </c>
    </row>
    <row r="5" spans="1:5" ht="27.75" customHeight="1" x14ac:dyDescent="0.35">
      <c r="A5" s="33" t="s">
        <v>665</v>
      </c>
      <c r="B5" s="15">
        <f>14.99</f>
        <v>14.99</v>
      </c>
      <c r="C5" s="14">
        <f>35%</f>
        <v>0.35</v>
      </c>
      <c r="D5" s="40">
        <f>B5*C5</f>
        <v>5.2465000000000002</v>
      </c>
      <c r="E5" s="11" t="s">
        <v>666</v>
      </c>
    </row>
    <row r="6" spans="1:5" ht="27.75" customHeight="1" x14ac:dyDescent="0.35">
      <c r="A6" s="33" t="s">
        <v>667</v>
      </c>
      <c r="B6" s="15">
        <f>21.99</f>
        <v>21.99</v>
      </c>
      <c r="C6" s="14">
        <f>22%</f>
        <v>0.22</v>
      </c>
      <c r="D6" s="40">
        <f>B6*C6</f>
        <v>4.8377999999999997</v>
      </c>
      <c r="E6" s="11" t="s">
        <v>668</v>
      </c>
    </row>
    <row r="7" spans="1:5" ht="27.75" customHeight="1" x14ac:dyDescent="0.35">
      <c r="A7" s="33" t="s">
        <v>669</v>
      </c>
      <c r="B7" s="15">
        <f>27.99</f>
        <v>27.99</v>
      </c>
      <c r="C7" s="14">
        <f>8%</f>
        <v>0.08</v>
      </c>
      <c r="D7" s="40">
        <f>B7*C7</f>
        <v>2.2391999999999999</v>
      </c>
      <c r="E7" s="11" t="s">
        <v>670</v>
      </c>
    </row>
    <row r="8" spans="1:5" ht="26.25" customHeight="1" x14ac:dyDescent="0.35">
      <c r="A8" s="36" t="s">
        <v>671</v>
      </c>
      <c r="B8" s="25"/>
      <c r="C8" s="25"/>
      <c r="D8" s="60">
        <f>SUMPRODUCT(B3:B7,C3:C7)/SUM(C4:C7)</f>
        <v>18.337500000000002</v>
      </c>
      <c r="E8" s="24"/>
    </row>
    <row r="10" spans="1:5" ht="15" customHeight="1" x14ac:dyDescent="0.35">
      <c r="A10" s="5" t="s">
        <v>672</v>
      </c>
      <c r="B10" s="5"/>
      <c r="C10" s="5"/>
      <c r="D10" s="5"/>
      <c r="E10" s="5"/>
    </row>
    <row r="11" spans="1:5" ht="15" customHeight="1" x14ac:dyDescent="0.35">
      <c r="A11" s="11" t="s">
        <v>673</v>
      </c>
      <c r="B11" s="61">
        <f>'Consolidated OpEx'!C11/12</f>
        <v>3.5332855954641449</v>
      </c>
      <c r="C11" s="25"/>
      <c r="D11" s="25"/>
      <c r="E11" s="25"/>
    </row>
    <row r="12" spans="1:5" ht="15" customHeight="1" x14ac:dyDescent="0.35">
      <c r="A12" s="11" t="s">
        <v>674</v>
      </c>
      <c r="B12" s="61">
        <f>Assumptions!$B$61</f>
        <v>6.5</v>
      </c>
      <c r="C12" s="25"/>
      <c r="D12" s="25"/>
      <c r="E12" s="25"/>
    </row>
    <row r="13" spans="1:5" ht="15" customHeight="1" x14ac:dyDescent="0.35">
      <c r="A13" s="11" t="s">
        <v>675</v>
      </c>
      <c r="B13" s="62">
        <v>0.35</v>
      </c>
      <c r="C13" s="25"/>
      <c r="D13" s="25"/>
      <c r="E13" s="25"/>
    </row>
    <row r="14" spans="1:5" ht="15" customHeight="1" x14ac:dyDescent="0.35">
      <c r="A14" s="33" t="s">
        <v>676</v>
      </c>
      <c r="B14" s="35">
        <f>(B11+B12)/(1-B13)</f>
        <v>15.43582399302176</v>
      </c>
      <c r="C14" s="25"/>
      <c r="D14" s="25"/>
      <c r="E14" s="25"/>
    </row>
    <row r="15" spans="1:5" ht="15" customHeight="1" x14ac:dyDescent="0.35">
      <c r="A15" s="33" t="s">
        <v>677</v>
      </c>
      <c r="B15" s="63">
        <f>D8-B14</f>
        <v>2.9016760069782421</v>
      </c>
      <c r="C15" s="25"/>
      <c r="D15" s="25"/>
      <c r="E15" s="25"/>
    </row>
    <row r="17" spans="1:5" ht="15" customHeight="1" x14ac:dyDescent="0.35">
      <c r="A17" s="5" t="s">
        <v>678</v>
      </c>
      <c r="B17" s="5"/>
      <c r="C17" s="5"/>
      <c r="D17" s="5"/>
      <c r="E17" s="5"/>
    </row>
    <row r="18" spans="1:5" ht="31.5" customHeight="1" x14ac:dyDescent="0.35">
      <c r="A18" s="64" t="s">
        <v>679</v>
      </c>
      <c r="B18" s="3" t="s">
        <v>680</v>
      </c>
      <c r="C18" s="3"/>
      <c r="D18" s="3"/>
      <c r="E18" s="3"/>
    </row>
    <row r="19" spans="1:5" ht="31.5" customHeight="1" x14ac:dyDescent="0.35">
      <c r="A19" s="64" t="s">
        <v>681</v>
      </c>
      <c r="B19" s="3" t="s">
        <v>682</v>
      </c>
      <c r="C19" s="3"/>
      <c r="D19" s="3"/>
      <c r="E19" s="3"/>
    </row>
    <row r="20" spans="1:5" ht="31.5" customHeight="1" x14ac:dyDescent="0.35">
      <c r="A20" s="64" t="s">
        <v>683</v>
      </c>
      <c r="B20" s="3" t="s">
        <v>684</v>
      </c>
      <c r="C20" s="3"/>
      <c r="D20" s="3"/>
      <c r="E20" s="3"/>
    </row>
    <row r="21" spans="1:5" ht="31.5" customHeight="1" x14ac:dyDescent="0.35">
      <c r="A21" s="64" t="s">
        <v>685</v>
      </c>
      <c r="B21" s="3" t="s">
        <v>686</v>
      </c>
      <c r="C21" s="3"/>
      <c r="D21" s="3"/>
      <c r="E21" s="3"/>
    </row>
    <row r="22" spans="1:5" ht="31.5" customHeight="1" x14ac:dyDescent="0.35">
      <c r="A22" s="64" t="s">
        <v>687</v>
      </c>
      <c r="B22" s="3" t="s">
        <v>688</v>
      </c>
      <c r="C22" s="3"/>
      <c r="D22" s="3"/>
      <c r="E22" s="3"/>
    </row>
    <row r="23" spans="1:5" ht="31.5" customHeight="1" x14ac:dyDescent="0.35">
      <c r="A23" s="64" t="s">
        <v>689</v>
      </c>
      <c r="B23" s="3" t="s">
        <v>690</v>
      </c>
      <c r="C23" s="3"/>
      <c r="D23" s="3"/>
      <c r="E23" s="3"/>
    </row>
    <row r="24" spans="1:5" ht="31.5" customHeight="1" x14ac:dyDescent="0.35">
      <c r="A24" s="64" t="s">
        <v>691</v>
      </c>
      <c r="B24" s="3" t="s">
        <v>692</v>
      </c>
      <c r="C24" s="3"/>
      <c r="D24" s="3"/>
      <c r="E24" s="3"/>
    </row>
    <row r="25" spans="1:5" ht="31.5" customHeight="1" x14ac:dyDescent="0.35">
      <c r="A25" s="64" t="s">
        <v>693</v>
      </c>
      <c r="B25" s="3" t="s">
        <v>694</v>
      </c>
      <c r="C25" s="3"/>
      <c r="D25" s="3"/>
      <c r="E25" s="3"/>
    </row>
  </sheetData>
  <mergeCells count="11">
    <mergeCell ref="B25:E25"/>
    <mergeCell ref="B20:E20"/>
    <mergeCell ref="B21:E21"/>
    <mergeCell ref="B22:E22"/>
    <mergeCell ref="B23:E23"/>
    <mergeCell ref="B24:E24"/>
    <mergeCell ref="A1:E1"/>
    <mergeCell ref="A10:E10"/>
    <mergeCell ref="A17:E17"/>
    <mergeCell ref="B18:E18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Assumptions</vt:lpstr>
      <vt:lpstr>Workload Sizing</vt:lpstr>
      <vt:lpstr>Azure Primary</vt:lpstr>
      <vt:lpstr>AWS Standby</vt:lpstr>
      <vt:lpstr>ADAM Governance OpEx</vt:lpstr>
      <vt:lpstr>Consolidated OpEx</vt:lpstr>
      <vt:lpstr>Revenue Model</vt:lpstr>
      <vt:lpstr>5-Year P&amp;L</vt:lpstr>
      <vt:lpstr>Pricing Scenarios</vt:lpstr>
      <vt:lpstr>Competitive Bench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Lamb</cp:lastModifiedBy>
  <cp:revision>0</cp:revision>
  <dcterms:created xsi:type="dcterms:W3CDTF">2026-04-18T15:21:54Z</dcterms:created>
  <dcterms:modified xsi:type="dcterms:W3CDTF">2026-04-18T15:56:12Z</dcterms:modified>
  <dc:language>en-US</dc:language>
</cp:coreProperties>
</file>